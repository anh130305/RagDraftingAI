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 filterPrivacy="1"/>
  <xr:revisionPtr revIDLastSave="0" documentId="13_ncr:1_{24906855-D6BD-BA4F-B21B-038FCA410A6D}" xr6:coauthVersionLast="47" xr6:coauthVersionMax="47" xr10:uidLastSave="{00000000-0000-0000-0000-000000000000}"/>
  <bookViews>
    <workbookView xWindow="0" yWindow="680" windowWidth="34200" windowHeight="19820" activeTab="7" xr2:uid="{00000000-000D-0000-FFFF-FFFF00000000}"/>
  </bookViews>
  <sheets>
    <sheet name="HuongDan" sheetId="15" r:id="rId1"/>
    <sheet name="HD_PL8" sheetId="16" r:id="rId2"/>
    <sheet name="TongHop" sheetId="4" r:id="rId3"/>
    <sheet name="TongDuToan" sheetId="14" r:id="rId4"/>
    <sheet name="PL1_Actors" sheetId="5" r:id="rId5"/>
    <sheet name="PL2_YeuCau" sheetId="6" r:id="rId6"/>
    <sheet name="PL3_UseCase" sheetId="7" r:id="rId7"/>
    <sheet name="PL4_TAW" sheetId="8" r:id="rId8"/>
    <sheet name="PL5_TBF" sheetId="9" r:id="rId9"/>
    <sheet name="PL6_TCF" sheetId="10" r:id="rId10"/>
    <sheet name="PL7_ECF" sheetId="11" r:id="rId11"/>
    <sheet name="PL8_Luong" sheetId="13" r:id="rId12"/>
    <sheet name="ChiPhi_G1" sheetId="12" r:id="rId13"/>
  </sheets>
  <definedNames>
    <definedName name="Cash_Minimum">#REF!</definedName>
    <definedName name="Start_D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0" l="1"/>
  <c r="G14" i="14"/>
  <c r="G13" i="14"/>
  <c r="E18" i="13"/>
  <c r="E13" i="12" s="1"/>
  <c r="G16" i="13"/>
  <c r="F16" i="13"/>
  <c r="E16" i="13"/>
  <c r="G15" i="13"/>
  <c r="F15" i="13"/>
  <c r="E15" i="13"/>
  <c r="G13" i="13"/>
  <c r="F13" i="13"/>
  <c r="E13" i="13"/>
  <c r="G12" i="13"/>
  <c r="F12" i="13"/>
  <c r="E12" i="13"/>
  <c r="G11" i="13"/>
  <c r="F11" i="13"/>
  <c r="E11" i="13"/>
  <c r="G10" i="13"/>
  <c r="F10" i="13"/>
  <c r="E10" i="13"/>
  <c r="G8" i="13"/>
  <c r="F8" i="13"/>
  <c r="E8" i="13"/>
  <c r="E12" i="9"/>
  <c r="F11" i="9"/>
  <c r="F10" i="9"/>
  <c r="F9" i="9"/>
  <c r="F8" i="9"/>
  <c r="F7" i="9"/>
  <c r="F6" i="9"/>
  <c r="F5" i="9"/>
  <c r="F4" i="9"/>
  <c r="F3" i="9"/>
  <c r="E10" i="11"/>
  <c r="E9" i="11"/>
  <c r="E8" i="11"/>
  <c r="E7" i="11"/>
  <c r="E6" i="11"/>
  <c r="E5" i="11"/>
  <c r="E4" i="11"/>
  <c r="E3" i="11"/>
  <c r="E16" i="10"/>
  <c r="E15" i="10"/>
  <c r="E14" i="10"/>
  <c r="E13" i="10"/>
  <c r="E12" i="10"/>
  <c r="E11" i="10"/>
  <c r="E10" i="10"/>
  <c r="E9" i="10"/>
  <c r="E8" i="10"/>
  <c r="E7" i="10"/>
  <c r="E6" i="10"/>
  <c r="E4" i="10"/>
  <c r="D6" i="8"/>
  <c r="E5" i="8"/>
  <c r="E4" i="8"/>
  <c r="E3" i="8"/>
  <c r="E11" i="11" l="1"/>
  <c r="E12" i="11" s="1"/>
  <c r="E9" i="12" s="1"/>
  <c r="E17" i="10"/>
  <c r="E19" i="10" s="1"/>
  <c r="E8" i="12" s="1"/>
  <c r="F12" i="9"/>
  <c r="F13" i="9" s="1"/>
  <c r="E6" i="12" s="1"/>
  <c r="E6" i="8"/>
  <c r="E7" i="8" s="1"/>
  <c r="E5" i="12"/>
  <c r="E21" i="10"/>
  <c r="E22" i="10" l="1"/>
  <c r="E7" i="12"/>
  <c r="E10" i="12" s="1"/>
  <c r="E12" i="12" s="1"/>
  <c r="E14" i="12" s="1"/>
  <c r="E9" i="4" s="1"/>
  <c r="E10" i="4" s="1"/>
  <c r="E11" i="4" l="1"/>
  <c r="E12" i="4" s="1"/>
  <c r="E13" i="4" l="1"/>
  <c r="E14" i="4" s="1"/>
  <c r="E5" i="14" s="1"/>
  <c r="E11" i="14" l="1"/>
  <c r="E10" i="14"/>
  <c r="E9" i="14"/>
  <c r="G9" i="14" s="1"/>
  <c r="E8" i="14"/>
  <c r="E6" i="14"/>
  <c r="G6" i="14" s="1"/>
  <c r="E16" i="14"/>
  <c r="E15" i="14"/>
  <c r="G5" i="14"/>
  <c r="F15" i="14" l="1"/>
  <c r="G15" i="14" s="1"/>
  <c r="E12" i="14"/>
  <c r="F16" i="14"/>
  <c r="G16" i="14" s="1"/>
  <c r="G8" i="14"/>
  <c r="E7" i="14"/>
  <c r="F10" i="14"/>
  <c r="G10" i="14" s="1"/>
  <c r="F11" i="14"/>
  <c r="G11" i="14" s="1"/>
  <c r="F7" i="14" l="1"/>
  <c r="G7" i="14" s="1"/>
  <c r="E17" i="14"/>
  <c r="G17" i="14" s="1"/>
  <c r="F12" i="14"/>
  <c r="G12" i="14" s="1"/>
  <c r="E21" i="14" l="1"/>
  <c r="F21" i="14"/>
  <c r="G21" i="14" l="1"/>
</calcChain>
</file>

<file path=xl/sharedStrings.xml><?xml version="1.0" encoding="utf-8"?>
<sst xmlns="http://schemas.openxmlformats.org/spreadsheetml/2006/main" count="970" uniqueCount="618">
  <si>
    <t>HƯỚNG DẪN SỬ DỤNG - MẪU DỰ TOÁN CHI PHÍ PHẦN MỀM NỘI BỘ</t>
  </si>
  <si>
    <t>Theo NĐ 45/2026/NĐ-CP, QĐ 671/QĐ-BTTTT, QĐ 320/QĐ-BKHCN, QĐ 1688/QĐ-BTTTT</t>
  </si>
  <si>
    <t>I. CẤU TRÚC WORKBOOK</t>
  </si>
  <si>
    <t>Sheet</t>
  </si>
  <si>
    <t>Chức năng</t>
  </si>
  <si>
    <t>Thao tác</t>
  </si>
  <si>
    <t>HuongDan</t>
  </si>
  <si>
    <t>Hướng dẫn sử dụng (sheet này)</t>
  </si>
  <si>
    <t>Chỉ đọc</t>
  </si>
  <si>
    <t>TongDuToan</t>
  </si>
  <si>
    <t>Bảng tổng hợp dự toán toàn dự án (GPM+GQL+GTV+GK+GDP)</t>
  </si>
  <si>
    <t>Tự động từ các sheet khác</t>
  </si>
  <si>
    <t>TongHop</t>
  </si>
  <si>
    <t>Tổng hợp chi phí phần mềm nội bộ (G, C, TL, GPM)</t>
  </si>
  <si>
    <t>Tự động</t>
  </si>
  <si>
    <t>ChiPhi_G1</t>
  </si>
  <si>
    <t>Tính chi phí trực tiếp G = 1,4 × E × P × H</t>
  </si>
  <si>
    <t>Tự động từ PL4–7 + PL8</t>
  </si>
  <si>
    <t>PL1_Actors</t>
  </si>
  <si>
    <t>Danh sách tác nhân (Actors)</t>
  </si>
  <si>
    <t>⭐ NHẬP LIỆU</t>
  </si>
  <si>
    <t>PL2</t>
  </si>
  <si>
    <t>Danh sách yêu cầu chức năng</t>
  </si>
  <si>
    <t>PL3</t>
  </si>
  <si>
    <t>Chuyển đổi yêu cầu CN → Use Case</t>
  </si>
  <si>
    <t>PL4_TAW</t>
  </si>
  <si>
    <t>Tính điểm tác nhân (TAW)</t>
  </si>
  <si>
    <t>⭐ NHẬP LIỆU số actor</t>
  </si>
  <si>
    <t>PL5_TBF</t>
  </si>
  <si>
    <t>Tính điểm Use Case (TBF) với hệ số BMT</t>
  </si>
  <si>
    <t>⭐ NHẬP LIỆU số UC</t>
  </si>
  <si>
    <t>PL6_TCF</t>
  </si>
  <si>
    <t>Hệ số phức tạp KT-CN (TCF)</t>
  </si>
  <si>
    <t>⭐ NHẬP LIỆU xếp hạng Fi</t>
  </si>
  <si>
    <t>PL7_ECF</t>
  </si>
  <si>
    <t>Hệ số môi trường (ECF)</t>
  </si>
  <si>
    <t>PL8_Luong</t>
  </si>
  <si>
    <t>Bảng tính lương nhân công (H) theo QĐ 320</t>
  </si>
  <si>
    <t>⭐ NHẬP LIỆU HCB, MLCS, số NC</t>
  </si>
  <si>
    <t>Ghi chú: ⭐ = các sheet cần nhập liệu khi áp dụng cho dự án mới</t>
  </si>
  <si>
    <t>II. CÁC BƯỚC THỰC HIỆN KHI ÁP DỤNG CHO DỰ ÁN MỚI</t>
  </si>
  <si>
    <t>Bước</t>
  </si>
  <si>
    <t>Giải thích</t>
  </si>
  <si>
    <t>Cập nhật thông tin dự án</t>
  </si>
  <si>
    <t>Sửa Tên dự án, Chủ đầu tư tại TongDuToan (B3, D3)</t>
  </si>
  <si>
    <t>Xác định Actors (PL1_Actors)</t>
  </si>
  <si>
    <t>Liệt kê tác nhân, phân loại (Đơn giản/Trung bình/Phức tạp), gán trọng số (1/2/3)</t>
  </si>
  <si>
    <t>Nhập số Actor (PL4_TAW)</t>
  </si>
  <si>
    <t>Nhập số lượng Actor theo từng loại: Đơn giản, Trung bình, Phức tạp → TAW tự động</t>
  </si>
  <si>
    <t>Xác định Use Case (PL2 → PL3 → PL5_TBF)</t>
  </si>
  <si>
    <t>Liệt kê yêu cầu CN, chuyển sang UC, phân loại BMT, nhập số UC vào PL5 → TBF tự động</t>
  </si>
  <si>
    <t>Chấm điểm hệ số KT-CN (PL6_TCF)</t>
  </si>
  <si>
    <t>Chấm Fi (0-5) cho 13 hệ số KT-CN → TFW → TCF tự động tính</t>
  </si>
  <si>
    <t>Chấm điểm hệ số môi trường (PL7_ECF)</t>
  </si>
  <si>
    <t>Chấm Fi (0-5) cho 8 hệ số môi trường → EFW → ECF và P (nội suy) tự động</t>
  </si>
  <si>
    <t>Cập nhật lương nhân công (PL8_Luong)</t>
  </si>
  <si>
    <t>Nhập HCB, MLCS, HĐC theo bảng lương hiện hành; nhập số nhân công → H tự động</t>
  </si>
  <si>
    <t>Kiểm tra kết quả (ChiPhi_G1)</t>
  </si>
  <si>
    <t>Kiểm tra AUCP, E, G đã tự động cập nhật. G = 1,4 × E × P × H</t>
  </si>
  <si>
    <t>Cập nhật tỷ lệ % (TongDuToan)</t>
  </si>
  <si>
    <t>Tra QĐ 1688 để xác định GQL%, GTV1% theo quy mô GPM của dự án mới</t>
  </si>
  <si>
    <t>Nhập chi phí kiểm thử (TongDuToan)</t>
  </si>
  <si>
    <t>Lập dự toán riêng cho GKT, GKTATTT rồi nhập vào ô E13:E14</t>
  </si>
  <si>
    <t>→ Kết quả: TỔNG DỰ TOÁN tự động</t>
  </si>
  <si>
    <t>TongDuToan!G21 = Tổng chi phí toàn dự án (sau thuế)</t>
  </si>
  <si>
    <t>III. CÔNG THỨC CHÍNH</t>
  </si>
  <si>
    <t>Công thức</t>
  </si>
  <si>
    <t>Diễn giải</t>
  </si>
  <si>
    <t>Văn bản</t>
  </si>
  <si>
    <t>UUCP = TAW + TBF</t>
  </si>
  <si>
    <t>Điểm UC chưa hiệu chỉnh = Điểm Actor + Điểm Use Case</t>
  </si>
  <si>
    <t>QĐ 671</t>
  </si>
  <si>
    <t>TCF = 0,6 + 0,01 × TFW</t>
  </si>
  <si>
    <t>Hệ số phức tạp kỹ thuật-công nghệ</t>
  </si>
  <si>
    <t>EF = 1,4 + (-0,03) × EFW</t>
  </si>
  <si>
    <t>Hệ số môi trường</t>
  </si>
  <si>
    <t>AUCP = UUCP × TCF × EF</t>
  </si>
  <si>
    <t>Điểm UC sau hiệu chỉnh</t>
  </si>
  <si>
    <t>E = 10/6 × AUCP</t>
  </si>
  <si>
    <t>Giá trị nỗ lực thực tế</t>
  </si>
  <si>
    <t>G = 1,4 × E × P × H</t>
  </si>
  <si>
    <t>Chi phí trực tiếp XD, PT, MR phần mềm nội bộ</t>
  </si>
  <si>
    <t>C = G × 65%</t>
  </si>
  <si>
    <t>Chi phí chung</t>
  </si>
  <si>
    <t>TT 04/2020</t>
  </si>
  <si>
    <t>TL = (G + C) × 6%</t>
  </si>
  <si>
    <t>Thu nhập chịu thuế tính trước</t>
  </si>
  <si>
    <t>GPM = G + C + TL</t>
  </si>
  <si>
    <t>Chi phí PM nội bộ (chưa dự phòng)</t>
  </si>
  <si>
    <t>Gpm = GPM + Gdp</t>
  </si>
  <si>
    <t>Chi phí PM nội bộ (có dự phòng)</t>
  </si>
  <si>
    <t>NĐ 45/2026</t>
  </si>
  <si>
    <t>H = BQ có trọng số giờ công</t>
  </si>
  <si>
    <t>Lương BQ từ bảng lương nhân công PL8</t>
  </si>
  <si>
    <t>QĐ 320/BKHCN</t>
  </si>
  <si>
    <t>TỔNG = GPM+GQL+GTV+GK+GDP</t>
  </si>
  <si>
    <t>Tổng dự toán toàn dự án</t>
  </si>
  <si>
    <t>IV. QUY ƯỚC MÀU SẮC</t>
  </si>
  <si>
    <t>Màu</t>
  </si>
  <si>
    <t>Ý nghĩa</t>
  </si>
  <si>
    <t>Ví dụ</t>
  </si>
  <si>
    <t>Chữ xanh dương</t>
  </si>
  <si>
    <t>Ô nhập liệu (input) - Chỉ sửa các ô này</t>
  </si>
  <si>
    <t>HCB, MLCS, số Actor, số UC, Fi, tỷ lệ %</t>
  </si>
  <si>
    <t>Chữ đen</t>
  </si>
  <si>
    <t>Công thức tự động - KHÔNG SỬA</t>
  </si>
  <si>
    <t>TAW, TBF, AUCP, G, GPM, TỔNG CỘNG</t>
  </si>
  <si>
    <t>Nền xanh lá</t>
  </si>
  <si>
    <t>Dòng tổng hợp / kết quả</t>
  </si>
  <si>
    <t>H (lương BQ), GPM, TỔNG CỘNG</t>
  </si>
  <si>
    <t>Nền vàng</t>
  </si>
  <si>
    <t>Kết quả cuối cùng</t>
  </si>
  <si>
    <t>TongDuToan TỔNG CỘNG</t>
  </si>
  <si>
    <t>V. LƯU Ý QUAN TRỌNG</t>
  </si>
  <si>
    <t>CHỈ sửa các ô MÀU XANH DƯƠNG (input). Không sửa các ô công thức (chữ đen) để tránh hỏng liên kết.</t>
  </si>
  <si>
    <t>Khi thay đổi Actor hoặc Use Case, cần đồng bộ cả trong PL1_Actors và PL4_TAW.</t>
  </si>
  <si>
    <t>Hệ số BMT trong PL5_TBF: B=1, M=1.2, T=1.5. Đây là hệ số cố định theo QĐ 671, không thay đổi.</t>
  </si>
  <si>
    <t>Mức lương cơ sở (MLCS) trong PL8_Luong cần cập nhật theo Nghị định hiện hành (hiện tại: 2.340.000 đ/tháng theo NĐ 73/2024).</t>
  </si>
  <si>
    <t>Tỷ lệ % GQL và GTV1 (TongDuToan) phụ thuộc quy mô GPM → Cần tra bảng QĐ 1688/QĐ-BTTTT và nội suy nếu cần.</t>
  </si>
  <si>
    <t>Nếu dự án có kiểm thử PM, cần lập dự toán riêng cho GKT (theo CV 3787/BTTTT-THH) và GKTATTT (theo TT 121/2018/TT-BTC).</t>
  </si>
  <si>
    <t>P (nội suy thời gian lao động) phụ thuộc vào độ ổn định kinh nghiệm ES từ PL7_ECF. Nội suy trong khoảng 20-28 giờ/điểm UC.</t>
  </si>
  <si>
    <t>Cascade: PL1→4 → PL5 → PL6 → PL7 → ChiPhi_G1 → TongHop → TongDuToan. Mọi thay đổi input sẽ tự động cập nhật.</t>
  </si>
  <si>
    <t>Văn bản áp dụng: NĐ 45/2026/NĐ-CP (thay NĐ 73/2019, NĐ 82/2024), QĐ 671/QĐ-BTTTT, QĐ 320/QĐ-BKHCN, QĐ 1688/QĐ-BTTTT.</t>
  </si>
  <si>
    <t>HƯỚNG DẪN XÂY DỰNG BẢNG DỰ TOÁN PL8_LUONG</t>
  </si>
  <si>
    <t>Bảng tính lương nhân công theo phương pháp UCP - QĐ 320/QĐ-BKHCN ngày 30/3/2025</t>
  </si>
  <si>
    <t>MỤC ĐÍCH</t>
  </si>
  <si>
    <t>Tính mức lương lao động bình quân (H) - đơn giá giờ công bình quân (đồng/giờ) - làm đầu vào cho công thức G = 1,4 x E x P x H tại sheet ChiPhi_G1.</t>
  </si>
  <si>
    <t>Kết quả H được liên kết tự động: PL8_Luong → ChiPhi_G1 → TongHop → TongDuToan. Bạn chỉ cần nhập đúng dữ liệu đầu vào.</t>
  </si>
  <si>
    <t>SLIDE 1: CẤU TRÚC BẢNG PL8_LUONG</t>
  </si>
  <si>
    <t>STT</t>
  </si>
  <si>
    <t>Hạng mục</t>
  </si>
  <si>
    <t>Ký hiệu / Công thức</t>
  </si>
  <si>
    <t>Loại ô</t>
  </si>
  <si>
    <t>Hệ số cấp bậc (HCB)</t>
  </si>
  <si>
    <t>HCB: tra QĐ 320/QĐ-BKHCN</t>
  </si>
  <si>
    <t>NHẬP LIỆU</t>
  </si>
  <si>
    <t>Hệ số phụ cấp lương (HPC)</t>
  </si>
  <si>
    <t>HPC: thường = 0</t>
  </si>
  <si>
    <t>Mức lương cơ sở (MLCS)</t>
  </si>
  <si>
    <t>MLCS: theo NĐ hiện hành</t>
  </si>
  <si>
    <t>Lương cơ bản (LCB)</t>
  </si>
  <si>
    <t>LCB = HCB x MLCS</t>
  </si>
  <si>
    <t>CÔNG THỨC</t>
  </si>
  <si>
    <t>Hệ số điều chỉnh (HĐC)</t>
  </si>
  <si>
    <t>HĐC: theo NĐ 74/2024 (0,9)</t>
  </si>
  <si>
    <t>BHXH + BHYT + BHTN</t>
  </si>
  <si>
    <t>21,5% x LCB</t>
  </si>
  <si>
    <t>Số ngày công (t)</t>
  </si>
  <si>
    <t>t = 26 ngày (QĐ 320)</t>
  </si>
  <si>
    <t>Giá ngày công (GNC)</t>
  </si>
  <si>
    <t>[(HCB+HPC) x MLCS x (1+HĐC)+BHLĐ] / t</t>
  </si>
  <si>
    <t>Giá giờ công (GGC)</t>
  </si>
  <si>
    <t>GGC = GNC / 8</t>
  </si>
  <si>
    <t>Số nhân công theo bậc</t>
  </si>
  <si>
    <t>Nhập theo thực tế dự án</t>
  </si>
  <si>
    <t>Lương BQ có trọng số (H)</t>
  </si>
  <si>
    <t>SUMPRODUCT(GGC x NC) / SUM(NC)</t>
  </si>
  <si>
    <t>KẾT QUẢ</t>
  </si>
  <si>
    <t>SLIDE 2: CÁC Ô NHẬP LIỆU (INPUT) - CHỈ SỬA CÁC Ô NÀY</t>
  </si>
  <si>
    <t>Ô nhập</t>
  </si>
  <si>
    <t>Vị trí trong PL8</t>
  </si>
  <si>
    <t>Giá trị hiện tại (ví dụ)</t>
  </si>
  <si>
    <t>Căn cứ pháp lý</t>
  </si>
  <si>
    <t>HCB</t>
  </si>
  <si>
    <t>E5:G5 (Kỹ sư bậc 1/2/3)</t>
  </si>
  <si>
    <t>2,34 / 2,65 / 2,96</t>
  </si>
  <si>
    <t>QĐ 320/QĐ-BKHCN ngày 30/3/2025</t>
  </si>
  <si>
    <t>HPC</t>
  </si>
  <si>
    <t>E6:G6 (Kỹ sư bậc 1/2/3)</t>
  </si>
  <si>
    <t>0 / 0 / 0</t>
  </si>
  <si>
    <t>Theo quy định đơn vị</t>
  </si>
  <si>
    <t>MLCS</t>
  </si>
  <si>
    <t>E7:G7 (Kỹ sư bậc 1/2/3)</t>
  </si>
  <si>
    <t>2.340.000 đ</t>
  </si>
  <si>
    <t>NĐ 73/2024/NĐ-CP ngày 30/6/2024</t>
  </si>
  <si>
    <t>HDC</t>
  </si>
  <si>
    <t>E9:G9 (Kỹ sư bậc 1/2/3)</t>
  </si>
  <si>
    <t>0,9 / 0,9 / 0,9</t>
  </si>
  <si>
    <t>NĐ 74/2024/NĐ-CP (hệ số 0,9)</t>
  </si>
  <si>
    <t>t</t>
  </si>
  <si>
    <t>E14:G14 (Kỹ sư bậc 1/2/3)</t>
  </si>
  <si>
    <t>26 ngày</t>
  </si>
  <si>
    <t>QĐ 320/QĐ-BKHCN</t>
  </si>
  <si>
    <t>So NC</t>
  </si>
  <si>
    <t>E17:G17 (Kỹ sư bậc 1/2/3)</t>
  </si>
  <si>
    <t>2 / 0 / 0 (nhập theo dự án)</t>
  </si>
  <si>
    <t>Theo dự án thực tế</t>
  </si>
  <si>
    <t>SLIDE 3: CÔNG THỨC TÍNH TOÁN CHI TIẾT</t>
  </si>
  <si>
    <t>Ví dụ tính (Kỹ sư bậc 1)</t>
  </si>
  <si>
    <t>Ô trong PL8</t>
  </si>
  <si>
    <t>B1</t>
  </si>
  <si>
    <t>2,34 x 2.340.000 = 5.475.600</t>
  </si>
  <si>
    <t>E8</t>
  </si>
  <si>
    <t>B2</t>
  </si>
  <si>
    <t>BHXH = 17,5% x LCB</t>
  </si>
  <si>
    <t>17,5% x 5.475.600 = 958.230</t>
  </si>
  <si>
    <t>E11</t>
  </si>
  <si>
    <t>B3</t>
  </si>
  <si>
    <t>BHYT = 3% x LCB</t>
  </si>
  <si>
    <t>3% x 5.475.600 = 164.268</t>
  </si>
  <si>
    <t>E12</t>
  </si>
  <si>
    <t>B4</t>
  </si>
  <si>
    <t>BHTN = 1% x LCB</t>
  </si>
  <si>
    <t>1% x 5.475.600 = 54.756</t>
  </si>
  <si>
    <t>E13</t>
  </si>
  <si>
    <t>B5</t>
  </si>
  <si>
    <t>GNC = [(HCB+HPC)xMLCSx(1+HDC)+BHLD]/t</t>
  </si>
  <si>
    <t>[(2,34+0)x2.340.000x(1+0,9)+1.177.254]/26</t>
  </si>
  <si>
    <t>E15</t>
  </si>
  <si>
    <t>B6</t>
  </si>
  <si>
    <t>445.419 / 8 = 55.677</t>
  </si>
  <si>
    <t>E16</t>
  </si>
  <si>
    <t>B7</t>
  </si>
  <si>
    <t>H = SUMPRODUCT(GGC x NC) / SUM(NC)</t>
  </si>
  <si>
    <t>55.677 x 2 / 2 = 55.677 đ/giờ</t>
  </si>
  <si>
    <t>E18</t>
  </si>
  <si>
    <t>SLIDE 4: QUY TRÌNH TỪNG BƯỚC</t>
  </si>
  <si>
    <t>Chi tiết</t>
  </si>
  <si>
    <t>Kết quả</t>
  </si>
  <si>
    <t>Xác định bậc kỹ sư</t>
  </si>
  <si>
    <t>Xem dự án cần bao nhiêu bậc (1/2/3), mỗi bậc bao nhiêu người</t>
  </si>
  <si>
    <t>Danh sách nhân sự dự án</t>
  </si>
  <si>
    <t>Nhập HCB vào E5:G5</t>
  </si>
  <si>
    <t>Tra QĐ 320/QĐ-BKHCN: Bậc 1=2,34; Bậc 2=2,65; Bậc 3=2,96</t>
  </si>
  <si>
    <t>LCB tự động tính</t>
  </si>
  <si>
    <t>Nhập MLCS vào E7:G7</t>
  </si>
  <si>
    <t>Theo NĐ 73/2024: 2.340.000 đ/tháng (cập nhật khi NĐ mới)</t>
  </si>
  <si>
    <t>LCB, BHXH tự cập nhật</t>
  </si>
  <si>
    <t>Nhập HĐC vào E9:G9</t>
  </si>
  <si>
    <t>Theo NĐ 74/2024: hệ số 0,9 (cập nhật khi thay đổi)</t>
  </si>
  <si>
    <t>GNC tự cập nhật</t>
  </si>
  <si>
    <t>Nhập số nhân công E17:G17</t>
  </si>
  <si>
    <t>VD: 2 KS bậc 1, 0 KS bậc 2, 0 KS bậc 3</t>
  </si>
  <si>
    <t>H tự tính trọng số</t>
  </si>
  <si>
    <t>Kiểm tra kết quả H (E18)</t>
  </si>
  <si>
    <t>H phải &gt; 0 và hợp lý. Nếu tất cả số NC = 0 thì H = 0</t>
  </si>
  <si>
    <t>Xác nhận H hợp lệ</t>
  </si>
  <si>
    <t>Hoàn tất: H liên kết sang ChiPhi_G1</t>
  </si>
  <si>
    <t>ChiPhi_G1 tự lấy H để tính G = 1,4 x E x P x H</t>
  </si>
  <si>
    <t>G tự động cập nhật</t>
  </si>
  <si>
    <t>SLIDE 5: LƯU Ý QUAN TRỌNG &amp; VĂN BẢN ÁP DỤNG</t>
  </si>
  <si>
    <t>LƯU Ý QUAN TRỌNG</t>
  </si>
  <si>
    <t>1. CHỈ sửa các ô MÀU XANH DƯƠNG (input). Không sửa ô công thức (chữ đen) để tránh hỏng liên kết.</t>
  </si>
  <si>
    <t>2. MLCS cần cập nhật khi Chính phủ ban hành Nghị định mới về mức lương cơ sở.</t>
  </si>
  <si>
    <t>3. HĐC (hệ số điều chỉnh) thay đổi theo Nghị định. Hiện tại: 0,9 theo NĐ 74/2024.</t>
  </si>
  <si>
    <t>4. Tỷ lệ BHXH 17,5%, BHYT 3%, BHTN 1% là cố định theo quy định hiện hành.</t>
  </si>
  <si>
    <t>5. Nếu chỉ dùng 1 bậc kỹ sư: nhập số NC cho bậc đó, bậc còn lại nhập 0.</t>
  </si>
  <si>
    <t>6. H = 0 khi tất cả số nhân công = 0. Cần nhập ít nhất 1 nhân công.</t>
  </si>
  <si>
    <t>7. Kết quả H liên kết: PL8_Luong!E18 -&gt; ChiPhi_G1 -&gt; TongHop -&gt; TongDuToan.</t>
  </si>
  <si>
    <t>VĂN BẢN PHÁP LÝ ÁP DỤNG</t>
  </si>
  <si>
    <t>Định mức kinh tế kỹ thuật hoạt động KHCN</t>
  </si>
  <si>
    <t>HCB, t, GNC</t>
  </si>
  <si>
    <t>Quy định mức lương cơ sở 2.340.000 đ</t>
  </si>
  <si>
    <t>NĐ 74/2024/NĐ-CP</t>
  </si>
  <si>
    <t>Hệ số điều chỉnh tăng thêm tiền lương</t>
  </si>
  <si>
    <t>HĐC</t>
  </si>
  <si>
    <t>NĐ 58/2020/NĐ-CP</t>
  </si>
  <si>
    <t>Quy định tỷ lệ đóng BHXH</t>
  </si>
  <si>
    <t>BHXH (17,5%)</t>
  </si>
  <si>
    <t>QĐ 595/QĐ-BHXH</t>
  </si>
  <si>
    <t>Quy định đóng BHYT, BHTN</t>
  </si>
  <si>
    <t>BHYT (3%), BHTN (1%)</t>
  </si>
  <si>
    <t>QĐ 671/QĐ-BTTTT ngày 26/04/2024</t>
  </si>
  <si>
    <t>Phương pháp UCP tính chi phí PM</t>
  </si>
  <si>
    <t>Công thức G, AUCP, UCP</t>
  </si>
  <si>
    <t>QUY ƯỚC MÀU SẮC TRONG PL8_LUONG</t>
  </si>
  <si>
    <t>Ô nhập liệu (input) - CHỈ sửa các ô này</t>
  </si>
  <si>
    <t>HCB, HPC, MLCS, HĐC, t, Số NC</t>
  </si>
  <si>
    <t>LCB, BHXH, GNC, GGC</t>
  </si>
  <si>
    <t>Dòng kết quả cuối cùng</t>
  </si>
  <si>
    <t>H - Lương BQ (E18)</t>
  </si>
  <si>
    <t>BẢNG TÍNH DỰ TOÁN CHI PHÍ PHẦN MỀM NỘI BỘ</t>
  </si>
  <si>
    <t>(Theo Quyết định số 671/QĐ-BTTTT ngày 26/04/2024 của Bộ TT&amp;TT)</t>
  </si>
  <si>
    <t>Căn cứ NĐ 45/2026/NĐ-CP ngày 26/01/2026 (thay thế NĐ 73/2019, NĐ 82/2024)</t>
  </si>
  <si>
    <t>Tên dự án/Nhiệm vụ:</t>
  </si>
  <si>
    <t>Thí điểm Hệ thống trí tuệ nhân tạo nội bộ trong công tác văn phòng cấp ủy</t>
  </si>
  <si>
    <t>Chủ đầu tư:</t>
  </si>
  <si>
    <t>Văn phòng Thành ủy Đà Nẵng</t>
  </si>
  <si>
    <t>BẢNG TỔNG HỢP CHI PHÍ PHẦN MỀM NỘI BỘ</t>
  </si>
  <si>
    <t>TT</t>
  </si>
  <si>
    <t>Khoản mục chi phí</t>
  </si>
  <si>
    <t>Cách tính</t>
  </si>
  <si>
    <t>Ký hiệu</t>
  </si>
  <si>
    <t>Thành tiền (đồng)</t>
  </si>
  <si>
    <t>G</t>
  </si>
  <si>
    <t>G × 65%</t>
  </si>
  <si>
    <t>C</t>
  </si>
  <si>
    <t>(G + C) × 6%</t>
  </si>
  <si>
    <t>TL</t>
  </si>
  <si>
    <t>Chi phí XD, PT, MR phần mềm nội bộ</t>
  </si>
  <si>
    <t>G + C + TL</t>
  </si>
  <si>
    <t>GPM</t>
  </si>
  <si>
    <t>Chi phí dự phòng</t>
  </si>
  <si>
    <t>Theo quy định</t>
  </si>
  <si>
    <t>Gdp</t>
  </si>
  <si>
    <t>TỔNG CỘNG</t>
  </si>
  <si>
    <t>Gpm</t>
  </si>
  <si>
    <t>THÔNG SỐ BỔ SUNG</t>
  </si>
  <si>
    <t>Tỷ lệ thu nhập chịu thuế tính trước (TL)</t>
  </si>
  <si>
    <t>TL = (G+C) × 6%</t>
  </si>
  <si>
    <t>Theo TT04/2020</t>
  </si>
  <si>
    <t>Tỷ lệ chi phí chung</t>
  </si>
  <si>
    <t>Tỷ lệ chi phí dự phòng</t>
  </si>
  <si>
    <t>Gdp = GPM × 10%</t>
  </si>
  <si>
    <t>Theo NĐ 45/2026</t>
  </si>
  <si>
    <t>BẢNG TỔNG HỢP DỰ TOÁN</t>
  </si>
  <si>
    <t>(Theo NĐ 45/2026/NĐ-CP, QĐ 671/QĐ-BTTTT, QĐ 1688/QĐ-BTTTT)</t>
  </si>
  <si>
    <t>Tên dự án:</t>
  </si>
  <si>
    <t>Stt</t>
  </si>
  <si>
    <t>Nội dung chi phí</t>
  </si>
  <si>
    <t>Giá trị trước thuế</t>
  </si>
  <si>
    <t>VAT</t>
  </si>
  <si>
    <t>Giá trị sau thuế</t>
  </si>
  <si>
    <t>I</t>
  </si>
  <si>
    <t>Chi phí phần mềm nội bộ</t>
  </si>
  <si>
    <t>Theo QĐ 671/QĐ-BTTTT</t>
  </si>
  <si>
    <t>II</t>
  </si>
  <si>
    <t>Chi phí quản lý dự án</t>
  </si>
  <si>
    <t>GQL</t>
  </si>
  <si>
    <t>GPM × tỷ lệ %</t>
  </si>
  <si>
    <t>III</t>
  </si>
  <si>
    <t>Chi phí tư vấn đầu tư</t>
  </si>
  <si>
    <t>GTV</t>
  </si>
  <si>
    <t>GTV1+GTV2+GTV3+GTV4</t>
  </si>
  <si>
    <t xml:space="preserve">  Chi phí lập báo cáo kinh tế - kỹ thuật</t>
  </si>
  <si>
    <t>GTV1</t>
  </si>
  <si>
    <t>GPM × tỷ lệ %, min 10tr</t>
  </si>
  <si>
    <t xml:space="preserve">  Chi phí thẩm tra dự toán</t>
  </si>
  <si>
    <t>GTV2</t>
  </si>
  <si>
    <t>GPM × tỷ lệ %, min 2tr</t>
  </si>
  <si>
    <t xml:space="preserve">  Chi phí lập hồ sơ mời thầu</t>
  </si>
  <si>
    <t>GTV3</t>
  </si>
  <si>
    <t>GPM × tỷ lệ %, min 3tr</t>
  </si>
  <si>
    <t xml:space="preserve">  Chi phí đánh giá hồ sơ dự thầu</t>
  </si>
  <si>
    <t>GTV4</t>
  </si>
  <si>
    <t>IV</t>
  </si>
  <si>
    <t>Chi phí khác</t>
  </si>
  <si>
    <t>GK</t>
  </si>
  <si>
    <t xml:space="preserve">  Chi phí kiểm thử chức năng PM</t>
  </si>
  <si>
    <t>GKT</t>
  </si>
  <si>
    <t>Lập dự toán</t>
  </si>
  <si>
    <t xml:space="preserve">  Chi phí kiểm thử ATANTT</t>
  </si>
  <si>
    <t>GKTATTT</t>
  </si>
  <si>
    <t xml:space="preserve">  Chi phí thẩm định HSMT</t>
  </si>
  <si>
    <t>GK1</t>
  </si>
  <si>
    <t>GPM × 0,1%, min 2tr</t>
  </si>
  <si>
    <t xml:space="preserve">  Chi phí thẩm định kết quả đấu thầu</t>
  </si>
  <si>
    <t>GK2</t>
  </si>
  <si>
    <t>GPM × 0,1%, min 3tr</t>
  </si>
  <si>
    <t>V</t>
  </si>
  <si>
    <t>GDP</t>
  </si>
  <si>
    <t>(GPM+GQL+GTV+GK)×10%</t>
  </si>
  <si>
    <t>Đơn vị: đồng Việt Nam</t>
  </si>
  <si>
    <t>GPM+GQL+GTV+GK+GDP</t>
  </si>
  <si>
    <t>THÔNG SỐ TỶ LỆ</t>
  </si>
  <si>
    <t>Thông số</t>
  </si>
  <si>
    <t>Tỷ lệ (%)</t>
  </si>
  <si>
    <t>Tỷ lệ chi phí quản lý dự án</t>
  </si>
  <si>
    <t>QĐ 1688/QĐ-BTTTT (Bảng số 1)</t>
  </si>
  <si>
    <t>Tỷ lệ lập BCKTKT</t>
  </si>
  <si>
    <t>QĐ 1688/QĐ-BTTTT (Bảng số 2)</t>
  </si>
  <si>
    <t>Tỷ lệ thẩm tra dự toán</t>
  </si>
  <si>
    <t>Tỷ lệ lập HSMT</t>
  </si>
  <si>
    <t>NĐ 214/2025/NĐ-CP</t>
  </si>
  <si>
    <t>Tỷ lệ đánh giá HSDT</t>
  </si>
  <si>
    <t>Tỷ lệ dự phòng</t>
  </si>
  <si>
    <t>NĐ 45/2026/NĐ-CP</t>
  </si>
  <si>
    <t>Thuế suất VAT</t>
  </si>
  <si>
    <t>Luật thuế GTGT hiện hành</t>
  </si>
  <si>
    <t>(*)</t>
  </si>
  <si>
    <t>Các ô màu xanh dương là ô nhập liệu - Cần tra bảng QĐ 1688/QĐ-BTTTT để xác định tỷ lệ % chính xác theo quy mô GPM của dự án</t>
  </si>
  <si>
    <t>Chi phí kiểm thử (GKT, GKTATTT) cần lập dự toán riêng theo CV 3787/BTTTT-THH và TT 121/2018/TT-BTC</t>
  </si>
  <si>
    <t>PHỤ LỤC I: DANH SÁCH CÁC TÁC NHÂN (ACTORS)</t>
  </si>
  <si>
    <t>Tên tác nhân</t>
  </si>
  <si>
    <t>Mô tả tác nhân</t>
  </si>
  <si>
    <t>Phân loại tác nhân</t>
  </si>
  <si>
    <t>Trọng số</t>
  </si>
  <si>
    <t>Ghi chú</t>
  </si>
  <si>
    <t>Phức tạp</t>
  </si>
  <si>
    <t>Đơn giản</t>
  </si>
  <si>
    <t>Ghi chú: Đơn giản (trọng số 1) - Trung bình (trọng số 2) - Phức tạp (trọng số 3)</t>
  </si>
  <si>
    <t>PHỤ LỤC II: DANH SÁCH YÊU CẦU CHỨC NĂNG</t>
  </si>
  <si>
    <t>Mô tả yêu cầu</t>
  </si>
  <si>
    <t>Phân loại (B/M/T)</t>
  </si>
  <si>
    <t>Số giao dịch</t>
  </si>
  <si>
    <t>B</t>
  </si>
  <si>
    <t>Nhóm I</t>
  </si>
  <si>
    <t>M</t>
  </si>
  <si>
    <t>T</t>
  </si>
  <si>
    <t>Nhóm II</t>
  </si>
  <si>
    <t>Ghi chú: B (Bé) = ≤3 giao dịch; M (Trung bình) = 4–7 giao dịch; T (To) = ≥8 giao dịch</t>
  </si>
  <si>
    <t>PHỤ LỤC III: BẢNG CHUYỂN ĐỔI YÊU CẦU CHỨC NĂNG SANG USE CASE</t>
  </si>
  <si>
    <t>Tên Use Case</t>
  </si>
  <si>
    <t>Phân loại BMT</t>
  </si>
  <si>
    <t>Phân loại độ phức tạp</t>
  </si>
  <si>
    <t>YCCN 01</t>
  </si>
  <si>
    <t>Trung bình</t>
  </si>
  <si>
    <t>YCCN 02</t>
  </si>
  <si>
    <t>YCCN 03</t>
  </si>
  <si>
    <t>YCCN 04</t>
  </si>
  <si>
    <t>YCCN 05</t>
  </si>
  <si>
    <t>YCCN 06</t>
  </si>
  <si>
    <t>YCCN 07</t>
  </si>
  <si>
    <t>YCCN 08</t>
  </si>
  <si>
    <t>YCCN 09</t>
  </si>
  <si>
    <t>YCCN 10</t>
  </si>
  <si>
    <t>YCCN 11</t>
  </si>
  <si>
    <t>YCCN 12</t>
  </si>
  <si>
    <t>YCCN 13</t>
  </si>
  <si>
    <t>YCCN 14</t>
  </si>
  <si>
    <t>YCCN 15</t>
  </si>
  <si>
    <t>YCCN 16</t>
  </si>
  <si>
    <t>YCCN 17</t>
  </si>
  <si>
    <t>YCCN 18</t>
  </si>
  <si>
    <t>YCCN 19</t>
  </si>
  <si>
    <t>YCCN 20</t>
  </si>
  <si>
    <t>YCCN 21</t>
  </si>
  <si>
    <t>YCCN 22</t>
  </si>
  <si>
    <t>YCCN 23</t>
  </si>
  <si>
    <t>YCCN 24</t>
  </si>
  <si>
    <t>YCCN 25</t>
  </si>
  <si>
    <t>YCCN 26</t>
  </si>
  <si>
    <t>YCCN 27</t>
  </si>
  <si>
    <t>YCCN 28</t>
  </si>
  <si>
    <t>YCCN 29</t>
  </si>
  <si>
    <t>YCCN 30</t>
  </si>
  <si>
    <t>Ghi chú: Đơn giản ≤3 GD; Trung bình 4-7 GD; Phức tạp ≥8 GD</t>
  </si>
  <si>
    <t>PHỤ LỤC IV: TÍNH ĐIỂM TÁC NHÂN KHÔNG HIỆU CHỈNH (TAW)</t>
  </si>
  <si>
    <t>Loại Actor</t>
  </si>
  <si>
    <t>Số tác nhân</t>
  </si>
  <si>
    <t>Điểm</t>
  </si>
  <si>
    <t>Cộng (1+2+3)</t>
  </si>
  <si>
    <t>TAW</t>
  </si>
  <si>
    <t>Tổng điểm tác nhân không hiệu chỉnh</t>
  </si>
  <si>
    <t>PHỤ LỤC V: TÍNH ĐIỂM CÁC TRƯỜNG HỢP SỬ DỤNG (USE CASE)</t>
  </si>
  <si>
    <t>Loại</t>
  </si>
  <si>
    <t>Hệ số BMT</t>
  </si>
  <si>
    <t>Số UC</t>
  </si>
  <si>
    <t>B - Đơn giản</t>
  </si>
  <si>
    <t>B - Trung bình</t>
  </si>
  <si>
    <t>B - Phức tạp</t>
  </si>
  <si>
    <t>M - Đơn giản</t>
  </si>
  <si>
    <t>M - Trung bình</t>
  </si>
  <si>
    <t>M - Phức tạp</t>
  </si>
  <si>
    <t>T - Đơn giản</t>
  </si>
  <si>
    <t>T - Trung bình</t>
  </si>
  <si>
    <t>T - Phức tạp</t>
  </si>
  <si>
    <t>TBF</t>
  </si>
  <si>
    <t>Ghi chú: Trọng số theo QĐ 671: ĐG=5, TB=10, PT=15</t>
  </si>
  <si>
    <t>Hệ số BMT: B=1, M=1.2, T=1.5</t>
  </si>
  <si>
    <t>PHỤ LỤC VI: HỆ SỐ PHỨC TẠP KỸ THUẬT - CÔNG NGHỆ (TCF)</t>
  </si>
  <si>
    <t>Các hệ số KT-CN</t>
  </si>
  <si>
    <t>Trọng số (Wi)</t>
  </si>
  <si>
    <t>Giá trị xếp hạng (Fi)</t>
  </si>
  <si>
    <t>Kết quả (Wi×Fi)</t>
  </si>
  <si>
    <t>I. Hệ số KT-CN (TFW)</t>
  </si>
  <si>
    <t>T1</t>
  </si>
  <si>
    <t>Xử lý phân tán</t>
  </si>
  <si>
    <t>0-5</t>
  </si>
  <si>
    <t>T2</t>
  </si>
  <si>
    <t>Mức độ quan trọng của hiệu năng</t>
  </si>
  <si>
    <t>T3</t>
  </si>
  <si>
    <t>Hiệu quả sử dụng cho người dùng</t>
  </si>
  <si>
    <t>T4</t>
  </si>
  <si>
    <t>Độ phức tạp của xử lý bên trong</t>
  </si>
  <si>
    <t>T5</t>
  </si>
  <si>
    <t>Khả năng tái sử dụng mã nguồn</t>
  </si>
  <si>
    <t>T6</t>
  </si>
  <si>
    <t>Dễ cài đặt</t>
  </si>
  <si>
    <t>T7</t>
  </si>
  <si>
    <t>Dễ vận hành</t>
  </si>
  <si>
    <t>T8</t>
  </si>
  <si>
    <t>Khả năng chuyển đổi</t>
  </si>
  <si>
    <t>T9</t>
  </si>
  <si>
    <t>Dễ dàng bảo trì</t>
  </si>
  <si>
    <t>T10</t>
  </si>
  <si>
    <t>Xử lý đồng thời</t>
  </si>
  <si>
    <t>T11</t>
  </si>
  <si>
    <t>Mức độ hỗ trợ bảo mật</t>
  </si>
  <si>
    <t>T12</t>
  </si>
  <si>
    <t>Sự phụ thuộc vào mã lệnh bên thứ ba</t>
  </si>
  <si>
    <t>T13</t>
  </si>
  <si>
    <t>Mức độ hỗ trợ đào tạo người sử dụng</t>
  </si>
  <si>
    <t>TFW = Tổng (Wi × Fi)</t>
  </si>
  <si>
    <t>II. Hệ số phức tạp KT-CN (TCF)</t>
  </si>
  <si>
    <t>TCF = 0.6 + (0.01 × TFW)</t>
  </si>
  <si>
    <t>Hệ số phức tạp KT-CN</t>
  </si>
  <si>
    <t>Điểm UC chưa hiệu chỉnh</t>
  </si>
  <si>
    <t>ĐIỂM USE CASE SAU HIỆU CHỈNH</t>
  </si>
  <si>
    <t>PHỤ LỤC VII: HỆ SỐ TÁC ĐỘNG MÔI TRƯỜNG, NHÓM LÀM VIỆC (ECF)</t>
  </si>
  <si>
    <t>Các hệ số môi trường</t>
  </si>
  <si>
    <t>E1</t>
  </si>
  <si>
    <t>Quen thuộc với quy trình phát triển PM</t>
  </si>
  <si>
    <t>E2</t>
  </si>
  <si>
    <t>Kinh nghiệm về ứng dụng</t>
  </si>
  <si>
    <t>E3</t>
  </si>
  <si>
    <t>Kinh nghiệm về hướng đối tượng</t>
  </si>
  <si>
    <t>E4</t>
  </si>
  <si>
    <t>Năng lực chủ trì phân tích</t>
  </si>
  <si>
    <t>E5</t>
  </si>
  <si>
    <t>Động lực làm việc</t>
  </si>
  <si>
    <t>E6</t>
  </si>
  <si>
    <t>Yêu cầu ổn định</t>
  </si>
  <si>
    <t>E7</t>
  </si>
  <si>
    <t>Nhân viên bán thời gian</t>
  </si>
  <si>
    <t>Ngôn ngữ lập trình khó</t>
  </si>
  <si>
    <t>EFW = Tổng (Wi × Fi)</t>
  </si>
  <si>
    <t>ECF = 1.4 + (-0.03 × EFW)</t>
  </si>
  <si>
    <t>Ghi chú: Giá trị xếp hạng Fi từ 0 đến 5 (0 = không liên quan, 5 = rất quan trọng)</t>
  </si>
  <si>
    <t>PHỤ LỤC VIII: BẢNG TÍNH LƯƠNG NHÂN CÔNG</t>
  </si>
  <si>
    <t>(Theo QĐ số 320/QĐ-BKHCN ngày 30/3/2025 của Bộ KH&amp;CN)</t>
  </si>
  <si>
    <t>Kỹ sư bậc 1</t>
  </si>
  <si>
    <t>Kỹ sư bậc 2</t>
  </si>
  <si>
    <t>Kỹ sư bậc 3</t>
  </si>
  <si>
    <t>Hệ số cấp bậc</t>
  </si>
  <si>
    <t>Hệ số phụ cấp lương</t>
  </si>
  <si>
    <t>Mức lương cơ sở</t>
  </si>
  <si>
    <t>Lương cơ bản</t>
  </si>
  <si>
    <t>LCB</t>
  </si>
  <si>
    <t>HCB × MLCS</t>
  </si>
  <si>
    <t>NĐ 74/2024/NĐ-CP (Hệ số 0,9)</t>
  </si>
  <si>
    <t>Các khoản đóng góp theo lương</t>
  </si>
  <si>
    <t>BHLĐ</t>
  </si>
  <si>
    <t xml:space="preserve">  Bảo hiểm xã hội (17,5%)</t>
  </si>
  <si>
    <t>BHXH</t>
  </si>
  <si>
    <t>17,5% × LCB</t>
  </si>
  <si>
    <t xml:space="preserve">  Bảo hiểm y tế (3%)</t>
  </si>
  <si>
    <t>BHYT</t>
  </si>
  <si>
    <t>3% × LCB</t>
  </si>
  <si>
    <t xml:space="preserve">  Bảo hiểm thất nghiệp (1%)</t>
  </si>
  <si>
    <t>BHTN</t>
  </si>
  <si>
    <t>1% × LCB</t>
  </si>
  <si>
    <t>Số ngày công trong tháng</t>
  </si>
  <si>
    <t>Giá ngày công</t>
  </si>
  <si>
    <t>GNC</t>
  </si>
  <si>
    <t>[(HCB+HPC)×MLCS×(1+HĐC)+BHLĐ]/t</t>
  </si>
  <si>
    <t>Giá giờ công</t>
  </si>
  <si>
    <t>GGC</t>
  </si>
  <si>
    <t>GNC / 8</t>
  </si>
  <si>
    <t>Số nhân công</t>
  </si>
  <si>
    <t>Nhập theo dự án</t>
  </si>
  <si>
    <t>Mức lương lao động bình quân (H)</t>
  </si>
  <si>
    <t>H</t>
  </si>
  <si>
    <t>BQ có trọng số theo số NC</t>
  </si>
  <si>
    <t>Đơn giá giờ công BQ (đồng/giờ)</t>
  </si>
  <si>
    <t>TÍNH TOÁN CHI PHÍ TRỰC TIẾP XÂY DỰNG, PHÁT TRIỂN, MỞ RỘNG PHẦN MỀM NỘI BỘ</t>
  </si>
  <si>
    <t>Giá trị</t>
  </si>
  <si>
    <t>Tính điểm trường hợp sử dụng (Use case)</t>
  </si>
  <si>
    <t>Điểm Actor (TAW)</t>
  </si>
  <si>
    <t>Phụ lục IV</t>
  </si>
  <si>
    <t>Điểm Use case (TBF)</t>
  </si>
  <si>
    <t>Phụ lục V</t>
  </si>
  <si>
    <t>Tính điểm UUCP</t>
  </si>
  <si>
    <t>UUCP</t>
  </si>
  <si>
    <t>TCF = 0,6 + (0,01 × TFW)</t>
  </si>
  <si>
    <t>TCF</t>
  </si>
  <si>
    <t>Phụ lục VI</t>
  </si>
  <si>
    <t>Hệ số phức tạp môi trường (EF)</t>
  </si>
  <si>
    <t>EF = 1,4 + (-0,03 × EFW)</t>
  </si>
  <si>
    <t>EF</t>
  </si>
  <si>
    <t>Phụ lục VII</t>
  </si>
  <si>
    <t>Tính điểm AUCP</t>
  </si>
  <si>
    <t>AUCP</t>
  </si>
  <si>
    <t>Nội suy thời gian lao động (P)</t>
  </si>
  <si>
    <t>Giờ công/điểm UC</t>
  </si>
  <si>
    <t>P</t>
  </si>
  <si>
    <t>Nội suy từ PL VII (20-28 giờ)</t>
  </si>
  <si>
    <t>Giá trị nỗ lực thực tế (E)</t>
  </si>
  <si>
    <t>E</t>
  </si>
  <si>
    <t>Hệ số điều chỉnh nỗ lực</t>
  </si>
  <si>
    <t>Mức lương lao động BQ (H)</t>
  </si>
  <si>
    <t>đồng/giờ</t>
  </si>
  <si>
    <t>Theo QĐ 320/QĐ-BKHCN (Phụ lục VIII)</t>
  </si>
  <si>
    <t>Chi phí trực tiếp PM nội bộ (G)</t>
  </si>
  <si>
    <t>đồng</t>
  </si>
  <si>
    <t>Xây dựng AI hỗ trợ soạn thảo văn bản hành chính ứng dụng mô hình RAG</t>
  </si>
  <si>
    <t>Quản trị viên</t>
  </si>
  <si>
    <t>Chuyên viên Văn thư</t>
  </si>
  <si>
    <t>Chuyên viên Nghiệp vụ</t>
  </si>
  <si>
    <t>Lãnh đạo cơ quan</t>
  </si>
  <si>
    <t>Quản lý toàn diện hệ thống: Khởi tạo tài khoản, phân quyền, cấu hình tham số lõi của AI (System Prompt, Temperature), giám sát tài nguyên máy chủ (GPU/RAM) và hiệu đính tri thức để tinh chỉnh mô hình.</t>
  </si>
  <si>
    <t>Chịu trách nhiệm về đầu vào dữ liệu (Data Ingestion): Tải lên văn bản pháp quy mới, vận hành và giám sát các tiến trình tự động như Crawler, OCR, bóc tách Metadata và véc-tơ hóa tri thức.</t>
  </si>
  <si>
    <t>Là người dùng lõi khai thác sức mạnh AI: Sử dụng Web Chat để truy vấn RAG, tra cứu sơ đồ đồ thị pháp lý, xem tài liệu song song (Split-viewer), đánh giá phản hồi AI và kết xuất dự thảo hành chính.</t>
  </si>
  <si>
    <t>Khai thác thông tin quản trị cấp cao: Xem Dashboard thống kê, theo dõi tần suất sử dụng AI của các phòng ban và kiểm tra tỷ lệ ảo giác/lỗi của hệ thống.</t>
  </si>
  <si>
    <t>Đăng nhập phân hệ Quản trị</t>
  </si>
  <si>
    <t>Quản lý danh mục Nhóm quyền</t>
  </si>
  <si>
    <t>Quản lý danh mục Chức năng hệ thống</t>
  </si>
  <si>
    <t>Phân quyền truy cập cho người dùng</t>
  </si>
  <si>
    <t>Quản lý danh sách tài khoản người dùng (Thêm, sửa, xóa, khóa)</t>
  </si>
  <si>
    <t>Quản lý cấu hình tham số AI (Model, Nhiệt độ sinh từ, System Prompt)</t>
  </si>
  <si>
    <t>Quản lý Kho tri thức pháp quy (Upload tài liệu nội bộ, xóa tài liệu)</t>
  </si>
  <si>
    <t>Quản lý tiến trình thu thập và đồng bộ dữ liệu tự động (Crawler Job)</t>
  </si>
  <si>
    <t>Quản lý tiến trình Vector hóa (Giám sát Chunking &amp; Embedding)</t>
  </si>
  <si>
    <t>Quản lý danh mục Lời nhắc mẫu (Prompt Templates) dùng chung</t>
  </si>
  <si>
    <t>Quản lý và hiệu đính Phản hồi AI (Review Feedback &amp; Correct Ground Truth)</t>
  </si>
  <si>
    <t>Nhật ký sử dụng hệ thống (Lịch sử đăng nhập, lịch sử Chat)</t>
  </si>
  <si>
    <t>Thống kê, báo cáo tần suất sử dụng AI của các phòng ban</t>
  </si>
  <si>
    <t>Dashboard giám sát tài nguyên máy chủ (RAM, GPU, CPU)</t>
  </si>
  <si>
    <t>Sao lưu và phục hồi Cơ sở dữ liệu (Vector DB &amp; SQL)</t>
  </si>
  <si>
    <t>Đăng nhập/Đăng xuất hệ thống Chat (Tích hợp SSO nội bộ)</t>
  </si>
  <si>
    <t>Đổi mật khẩu và quản lý thông tin cá nhân</t>
  </si>
  <si>
    <t>Xem danh sách các văn bản pháp quy, quy chế mới cập nhật</t>
  </si>
  <si>
    <t>Tra cứu Sơ đồ Cây quan hệ pháp lý (Graph Hierarchy)</t>
  </si>
  <si>
    <t>Quản lý danh sách Phiên trò chuyện (Tạo mới, xem lại, đổi tên, xóa)</t>
  </si>
  <si>
    <t>Gửi yêu cầu hỗ trợ soạn thảo (Nhập văn bản Prompt)</t>
  </si>
  <si>
    <t>Tải tệp tin ngữ cảnh cá nhân (.pdf, .docx) vào phiên Chat hiện tại</t>
  </si>
  <si>
    <t>Sử dụng Lời nhắc mẫu (Prompt Templates) có sẵn</t>
  </si>
  <si>
    <t>Nhận phản hồi văn bản từ AI (Streaming Text)</t>
  </si>
  <si>
    <t>Xem tài liệu song song và Định vị trích dẫn (Split-viewer &amp; Highlight)</t>
  </si>
  <si>
    <t>Xem chi tiết trích dẫn căn cứ pháp lý (Citation Source)</t>
  </si>
  <si>
    <t>Đánh giá chất lượng câu trả lời của AI (Feedback Thumbs Up/Down)</t>
  </si>
  <si>
    <t>Cung cấp dữ liệu theo Biểu mẫu động (Dynamic Form Filling)</t>
  </si>
  <si>
    <t>Không gian soạn thảo nháp (Rich Text Editor)</t>
  </si>
  <si>
    <t>Kết xuất tệp tin văn bản hành chính (.docx, .pdf) theo chuẩn NĐ30</t>
  </si>
  <si>
    <t>Quản lý danh sách tài khoản người dùng</t>
  </si>
  <si>
    <t>Lãnh đạo cơ quan, Quản trị viên</t>
  </si>
  <si>
    <t>Tất cả người dùng</t>
  </si>
  <si>
    <t>Chuyên viên Nghiệp vụ, Lãnh đạo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</si>
</sst>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%"/>
  </numFmts>
  <fonts count="37" x14ac:knownFonts="1">
    <font>
      <sz val="11"/>
      <color theme="1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i/>
      <sz val="11"/>
      <color theme="1"/>
      <name val="Franklin Gothic Book"/>
      <family val="2"/>
      <scheme val="minor"/>
    </font>
    <font>
      <sz val="11"/>
      <color rgb="FF0000FF"/>
      <name val="Franklin Gothic Book"/>
      <family val="2"/>
      <scheme val="minor"/>
    </font>
    <font>
      <b/>
      <sz val="13"/>
      <color theme="1"/>
      <name val="Franklin Gothic Book"/>
      <family val="2"/>
      <scheme val="minor"/>
    </font>
    <font>
      <b/>
      <sz val="11"/>
      <color rgb="FFFFFFFF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i/>
      <sz val="10"/>
      <color theme="1"/>
      <name val="Franklin Gothic Book"/>
      <family val="2"/>
      <scheme val="minor"/>
    </font>
    <font>
      <b/>
      <sz val="11"/>
      <color rgb="FF0000FF"/>
      <name val="Franklin Gothic Book"/>
      <family val="2"/>
      <scheme val="minor"/>
    </font>
    <font>
      <b/>
      <sz val="16"/>
      <color theme="1"/>
      <name val="Franklin Gothic Book"/>
      <family val="2"/>
    </font>
    <font>
      <sz val="11"/>
      <color theme="1"/>
      <name val="Franklin Gothic Book"/>
      <family val="2"/>
    </font>
    <font>
      <i/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sz val="11"/>
      <color rgb="FF0000FF"/>
      <name val="Franklin Gothic Book"/>
      <family val="2"/>
    </font>
    <font>
      <b/>
      <sz val="13"/>
      <color theme="1"/>
      <name val="Franklin Gothic Book"/>
      <family val="2"/>
    </font>
    <font>
      <b/>
      <sz val="11"/>
      <color rgb="FFFFFFFF"/>
      <name val="Franklin Gothic Book"/>
      <family val="2"/>
    </font>
    <font>
      <b/>
      <sz val="12"/>
      <color theme="1"/>
      <name val="Franklin Gothic Book"/>
      <family val="2"/>
    </font>
    <font>
      <i/>
      <sz val="10"/>
      <color theme="1"/>
      <name val="Franklin Gothic Book"/>
      <family val="2"/>
    </font>
    <font>
      <i/>
      <sz val="9"/>
      <color theme="1"/>
      <name val="Franklin Gothic Book"/>
      <family val="2"/>
      <scheme val="minor"/>
    </font>
    <font>
      <b/>
      <sz val="11"/>
      <color rgb="FFFF0000"/>
      <name val="Franklin Gothic Book"/>
      <family val="2"/>
      <scheme val="minor"/>
    </font>
    <font>
      <i/>
      <sz val="11"/>
      <color rgb="FFFF0000"/>
      <name val="Franklin Gothic Book"/>
      <family val="2"/>
      <scheme val="minor"/>
    </font>
    <font>
      <b/>
      <sz val="14"/>
      <color rgb="FFFFFFFF"/>
      <name val="Franklin Gothic Book"/>
      <family val="2"/>
      <scheme val="minor"/>
    </font>
    <font>
      <i/>
      <sz val="11"/>
      <color rgb="FFFFFFFF"/>
      <name val="Franklin Gothic Book"/>
      <family val="2"/>
      <scheme val="minor"/>
    </font>
    <font>
      <b/>
      <sz val="12"/>
      <color rgb="FF2F5496"/>
      <name val="Franklin Gothic Book"/>
      <family val="2"/>
      <scheme val="minor"/>
    </font>
    <font>
      <b/>
      <sz val="11"/>
      <color rgb="FFC00000"/>
      <name val="Franklin Gothic Book"/>
      <family val="2"/>
      <scheme val="minor"/>
    </font>
    <font>
      <sz val="11"/>
      <color rgb="FF0070C0"/>
      <name val="Franklin Gothic Book"/>
      <family val="2"/>
      <scheme val="minor"/>
    </font>
    <font>
      <b/>
      <sz val="11"/>
      <color rgb="FF0070C0"/>
      <name val="Franklin Gothic Book"/>
      <family val="2"/>
      <scheme val="minor"/>
    </font>
    <font>
      <i/>
      <sz val="11"/>
      <color rgb="FFC00000"/>
      <name val="Franklin Gothic Book"/>
      <family val="2"/>
      <scheme val="minor"/>
    </font>
    <font>
      <b/>
      <sz val="11"/>
      <color theme="1"/>
      <name val="Consolas"/>
      <family val="2"/>
    </font>
    <font>
      <b/>
      <sz val="11"/>
      <color rgb="FFC00000"/>
      <name val="Consolas"/>
      <family val="2"/>
    </font>
    <font>
      <b/>
      <sz val="12"/>
      <color rgb="FFC00000"/>
      <name val="Franklin Gothic Book"/>
      <family val="2"/>
      <scheme val="minor"/>
    </font>
    <font>
      <b/>
      <sz val="16"/>
      <color rgb="FFFFFFFF"/>
      <name val="Franklin Gothic Book"/>
      <family val="2"/>
      <scheme val="minor"/>
    </font>
    <font>
      <i/>
      <sz val="12"/>
      <color rgb="FF2F5496"/>
      <name val="Franklin Gothic Book"/>
      <family val="2"/>
      <scheme val="minor"/>
    </font>
    <font>
      <b/>
      <sz val="13"/>
      <color rgb="FF2F5496"/>
      <name val="Franklin Gothic Book"/>
      <family val="2"/>
      <scheme val="minor"/>
    </font>
    <font>
      <b/>
      <sz val="11"/>
      <color rgb="FF008000"/>
      <name val="Franklin Gothic Book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auto="1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auto="1"/>
      </bottom>
      <diagonal/>
    </border>
    <border>
      <left style="thin">
        <color auto="1"/>
      </left>
      <right style="thin">
        <color rgb="FFB4C6E7"/>
      </right>
      <top style="thin">
        <color auto="1"/>
      </top>
      <bottom style="thin">
        <color rgb="FFB4C6E7"/>
      </bottom>
      <diagonal/>
    </border>
    <border>
      <left style="thin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rgb="FFB4C6E7"/>
      </right>
      <top style="thin">
        <color rgb="FFB4C6E7"/>
      </top>
      <bottom style="thin">
        <color auto="1"/>
      </bottom>
      <diagonal/>
    </border>
    <border>
      <left style="thin">
        <color rgb="FFB4C6E7"/>
      </left>
      <right style="thin">
        <color auto="1"/>
      </right>
      <top style="thin">
        <color auto="1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rgb="FFB4C6E7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8" fillId="0" borderId="0" xfId="0" applyFont="1"/>
    <xf numFmtId="0" fontId="0" fillId="2" borderId="1" xfId="0" applyFill="1" applyBorder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2" borderId="0" xfId="0" applyFont="1" applyFill="1" applyAlignment="1">
      <alignment horizontal="center"/>
    </xf>
    <xf numFmtId="0" fontId="16" fillId="2" borderId="0" xfId="0" applyFont="1" applyFill="1"/>
    <xf numFmtId="0" fontId="12" fillId="4" borderId="1" xfId="0" applyFont="1" applyFill="1" applyBorder="1"/>
    <xf numFmtId="0" fontId="10" fillId="4" borderId="1" xfId="0" applyFont="1" applyFill="1" applyBorder="1"/>
    <xf numFmtId="0" fontId="12" fillId="4" borderId="1" xfId="0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15" fillId="3" borderId="1" xfId="0" applyFont="1" applyFill="1" applyBorder="1" applyAlignment="1">
      <alignment horizontal="center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0" fillId="5" borderId="1" xfId="0" applyFont="1" applyFill="1" applyBorder="1"/>
    <xf numFmtId="164" fontId="13" fillId="0" borderId="1" xfId="0" applyNumberFormat="1" applyFont="1" applyBorder="1" applyAlignment="1">
      <alignment horizontal="center"/>
    </xf>
    <xf numFmtId="0" fontId="16" fillId="2" borderId="1" xfId="0" applyFont="1" applyFill="1" applyBorder="1"/>
    <xf numFmtId="0" fontId="17" fillId="0" borderId="0" xfId="0" applyFont="1"/>
    <xf numFmtId="0" fontId="13" fillId="0" borderId="1" xfId="0" applyFont="1" applyBorder="1" applyAlignment="1">
      <alignment horizontal="center"/>
    </xf>
    <xf numFmtId="0" fontId="12" fillId="6" borderId="1" xfId="0" applyFont="1" applyFill="1" applyBorder="1"/>
    <xf numFmtId="0" fontId="10" fillId="6" borderId="1" xfId="0" applyFont="1" applyFill="1" applyBorder="1"/>
    <xf numFmtId="0" fontId="12" fillId="6" borderId="1" xfId="0" applyFont="1" applyFill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3" fontId="12" fillId="5" borderId="1" xfId="0" applyNumberFormat="1" applyFont="1" applyFill="1" applyBorder="1" applyAlignment="1">
      <alignment horizontal="center"/>
    </xf>
    <xf numFmtId="3" fontId="12" fillId="6" borderId="1" xfId="0" applyNumberFormat="1" applyFont="1" applyFill="1" applyBorder="1" applyAlignment="1">
      <alignment horizontal="center"/>
    </xf>
    <xf numFmtId="0" fontId="12" fillId="0" borderId="1" xfId="0" applyFont="1" applyBorder="1"/>
    <xf numFmtId="3" fontId="12" fillId="0" borderId="1" xfId="0" applyNumberFormat="1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6" fillId="6" borderId="1" xfId="0" applyFont="1" applyFill="1" applyBorder="1"/>
    <xf numFmtId="0" fontId="10" fillId="6" borderId="1" xfId="0" applyFont="1" applyFill="1" applyBorder="1" applyAlignment="1">
      <alignment horizontal="center"/>
    </xf>
    <xf numFmtId="3" fontId="12" fillId="5" borderId="1" xfId="0" applyNumberFormat="1" applyFont="1" applyFill="1" applyBorder="1"/>
    <xf numFmtId="0" fontId="2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2" fontId="3" fillId="0" borderId="0" xfId="0" applyNumberFormat="1" applyFont="1"/>
    <xf numFmtId="3" fontId="3" fillId="0" borderId="0" xfId="0" applyNumberFormat="1" applyFont="1"/>
    <xf numFmtId="3" fontId="0" fillId="0" borderId="0" xfId="0" applyNumberFormat="1"/>
    <xf numFmtId="165" fontId="3" fillId="0" borderId="0" xfId="0" applyNumberFormat="1" applyFont="1"/>
    <xf numFmtId="4" fontId="0" fillId="0" borderId="0" xfId="0" applyNumberFormat="1"/>
    <xf numFmtId="0" fontId="3" fillId="0" borderId="0" xfId="0" applyFont="1" applyAlignment="1">
      <alignment horizontal="center"/>
    </xf>
    <xf numFmtId="0" fontId="1" fillId="5" borderId="0" xfId="0" applyFont="1" applyFill="1"/>
    <xf numFmtId="0" fontId="0" fillId="5" borderId="0" xfId="0" applyFill="1"/>
    <xf numFmtId="4" fontId="13" fillId="0" borderId="1" xfId="0" applyNumberFormat="1" applyFont="1" applyBorder="1" applyAlignment="1">
      <alignment horizontal="center"/>
    </xf>
    <xf numFmtId="0" fontId="1" fillId="5" borderId="2" xfId="0" applyFont="1" applyFill="1" applyBorder="1"/>
    <xf numFmtId="4" fontId="1" fillId="5" borderId="2" xfId="0" applyNumberFormat="1" applyFont="1" applyFill="1" applyBorder="1"/>
    <xf numFmtId="0" fontId="0" fillId="5" borderId="2" xfId="0" applyFill="1" applyBorder="1"/>
    <xf numFmtId="0" fontId="0" fillId="0" borderId="0" xfId="0" applyAlignment="1">
      <alignment horizontal="center"/>
    </xf>
    <xf numFmtId="0" fontId="1" fillId="5" borderId="2" xfId="0" applyFont="1" applyFill="1" applyBorder="1" applyAlignment="1">
      <alignment horizontal="center"/>
    </xf>
    <xf numFmtId="3" fontId="12" fillId="0" borderId="1" xfId="0" applyNumberFormat="1" applyFont="1" applyBorder="1"/>
    <xf numFmtId="3" fontId="16" fillId="6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right"/>
    </xf>
    <xf numFmtId="0" fontId="1" fillId="5" borderId="0" xfId="0" applyFont="1" applyFill="1" applyAlignment="1">
      <alignment horizontal="center"/>
    </xf>
    <xf numFmtId="3" fontId="1" fillId="5" borderId="0" xfId="0" applyNumberFormat="1" applyFont="1" applyFill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166" fontId="3" fillId="0" borderId="0" xfId="0" applyNumberFormat="1" applyFont="1"/>
    <xf numFmtId="164" fontId="3" fillId="0" borderId="0" xfId="0" applyNumberFormat="1" applyFont="1"/>
    <xf numFmtId="0" fontId="1" fillId="7" borderId="2" xfId="0" applyFont="1" applyFill="1" applyBorder="1"/>
    <xf numFmtId="0" fontId="6" fillId="7" borderId="2" xfId="0" applyFont="1" applyFill="1" applyBorder="1"/>
    <xf numFmtId="0" fontId="1" fillId="7" borderId="2" xfId="0" applyFont="1" applyFill="1" applyBorder="1" applyAlignment="1">
      <alignment horizontal="center"/>
    </xf>
    <xf numFmtId="3" fontId="6" fillId="7" borderId="2" xfId="0" applyNumberFormat="1" applyFont="1" applyFill="1" applyBorder="1"/>
    <xf numFmtId="3" fontId="1" fillId="7" borderId="2" xfId="0" applyNumberFormat="1" applyFon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3" fillId="0" borderId="0" xfId="0" applyFont="1"/>
    <xf numFmtId="0" fontId="1" fillId="9" borderId="0" xfId="0" applyFont="1" applyFill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" fillId="9" borderId="0" xfId="0" applyFont="1" applyFill="1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1" fillId="9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0" fontId="0" fillId="13" borderId="0" xfId="0" applyFill="1" applyAlignment="1">
      <alignment horizontal="center"/>
    </xf>
    <xf numFmtId="0" fontId="0" fillId="3" borderId="0" xfId="0" applyFill="1"/>
    <xf numFmtId="0" fontId="0" fillId="5" borderId="0" xfId="0" applyFill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5" fillId="12" borderId="4" xfId="0" applyFont="1" applyFill="1" applyBorder="1" applyAlignment="1">
      <alignment horizontal="center" wrapText="1"/>
    </xf>
    <xf numFmtId="0" fontId="5" fillId="12" borderId="9" xfId="0" applyFont="1" applyFill="1" applyBorder="1" applyAlignment="1">
      <alignment horizontal="center" wrapText="1"/>
    </xf>
    <xf numFmtId="0" fontId="0" fillId="13" borderId="3" xfId="0" applyFill="1" applyBorder="1" applyAlignment="1">
      <alignment wrapText="1"/>
    </xf>
    <xf numFmtId="0" fontId="8" fillId="13" borderId="10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8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13" borderId="10" xfId="0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34" fillId="5" borderId="11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0" fillId="0" borderId="5" xfId="0" applyBorder="1" applyAlignment="1">
      <alignment wrapText="1"/>
    </xf>
    <xf numFmtId="0" fontId="0" fillId="0" borderId="11" xfId="0" applyBorder="1" applyAlignment="1">
      <alignment wrapText="1"/>
    </xf>
    <xf numFmtId="0" fontId="0" fillId="13" borderId="10" xfId="0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wrapText="1"/>
    </xf>
    <xf numFmtId="0" fontId="1" fillId="13" borderId="4" xfId="0" applyFont="1" applyFill="1" applyBorder="1" applyAlignment="1">
      <alignment wrapText="1"/>
    </xf>
    <xf numFmtId="0" fontId="0" fillId="13" borderId="4" xfId="0" applyFill="1" applyBorder="1" applyAlignment="1">
      <alignment wrapText="1"/>
    </xf>
    <xf numFmtId="0" fontId="0" fillId="13" borderId="9" xfId="0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13" borderId="3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8" fillId="13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35" fillId="14" borderId="12" xfId="0" applyFont="1" applyFill="1" applyBorder="1" applyAlignment="1">
      <alignment horizontal="center" vertical="center"/>
    </xf>
    <xf numFmtId="0" fontId="35" fillId="14" borderId="12" xfId="0" applyFont="1" applyFill="1" applyBorder="1" applyAlignment="1">
      <alignment horizontal="left" vertical="center" wrapText="1"/>
    </xf>
    <xf numFmtId="0" fontId="15" fillId="3" borderId="13" xfId="0" applyFont="1" applyFill="1" applyBorder="1" applyAlignment="1">
      <alignment horizontal="center"/>
    </xf>
    <xf numFmtId="0" fontId="36" fillId="14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left" vertical="center" wrapText="1"/>
    </xf>
    <xf numFmtId="0" fontId="21" fillId="8" borderId="0" xfId="0" applyFont="1" applyFill="1"/>
    <xf numFmtId="0" fontId="22" fillId="8" borderId="0" xfId="0" applyFont="1" applyFill="1"/>
    <xf numFmtId="0" fontId="23" fillId="10" borderId="0" xfId="0" applyFont="1" applyFill="1"/>
    <xf numFmtId="0" fontId="0" fillId="0" borderId="0" xfId="0" applyAlignment="1">
      <alignment wrapText="1"/>
    </xf>
    <xf numFmtId="0" fontId="0" fillId="6" borderId="0" xfId="0" applyFill="1"/>
    <xf numFmtId="0" fontId="31" fillId="8" borderId="0" xfId="0" applyFont="1" applyFill="1" applyAlignment="1">
      <alignment horizontal="center"/>
    </xf>
    <xf numFmtId="0" fontId="0" fillId="0" borderId="0" xfId="0"/>
    <xf numFmtId="0" fontId="32" fillId="10" borderId="0" xfId="0" applyFont="1" applyFill="1" applyAlignment="1">
      <alignment horizontal="center"/>
    </xf>
    <xf numFmtId="0" fontId="33" fillId="11" borderId="0" xfId="0" applyFont="1" applyFill="1"/>
    <xf numFmtId="0" fontId="0" fillId="11" borderId="0" xfId="0" applyFill="1"/>
    <xf numFmtId="0" fontId="21" fillId="3" borderId="0" xfId="0" applyFont="1" applyFill="1" applyAlignment="1">
      <alignment horizontal="center" vertical="center"/>
    </xf>
    <xf numFmtId="0" fontId="30" fillId="6" borderId="0" xfId="0" applyFont="1" applyFill="1"/>
    <xf numFmtId="0" fontId="4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usiness Templates">
  <a:themeElements>
    <a:clrScheme name="TM0058758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D497E"/>
      </a:accent1>
      <a:accent2>
        <a:srgbClr val="DFF3F2"/>
      </a:accent2>
      <a:accent3>
        <a:srgbClr val="C0D9F2"/>
      </a:accent3>
      <a:accent4>
        <a:srgbClr val="E63C28"/>
      </a:accent4>
      <a:accent5>
        <a:srgbClr val="8D9CAD"/>
      </a:accent5>
      <a:accent6>
        <a:srgbClr val="D2AC3C"/>
      </a:accent6>
      <a:hlink>
        <a:srgbClr val="0563C1"/>
      </a:hlink>
      <a:folHlink>
        <a:srgbClr val="954F72"/>
      </a:folHlink>
    </a:clrScheme>
    <a:fontScheme name="Custom 22">
      <a:majorFont>
        <a:latin typeface="Franklin Gothic Medium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85062C-51FA-45B2-B906-4B5FDAD6A08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9d41a904-920a-4698-a9c7-2a861aae137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9470-0700-4FC8-88A5-AD003167BD07}">
  <dimension ref="A1:F65"/>
  <sheetViews>
    <sheetView workbookViewId="0">
      <pane ySplit="2" topLeftCell="A7" activePane="bottomLeft" state="frozen"/>
      <selection pane="bottomLeft" activeCell="D23" sqref="D23"/>
    </sheetView>
  </sheetViews>
  <sheetFormatPr baseColWidth="10" defaultColWidth="8.83203125" defaultRowHeight="14" x14ac:dyDescent="0.15"/>
  <cols>
    <col min="1" max="1" width="29.1640625" customWidth="1"/>
    <col min="2" max="2" width="59.1640625" customWidth="1"/>
    <col min="3" max="3" width="51.83203125" customWidth="1"/>
    <col min="6" max="6" width="25.1640625" customWidth="1"/>
  </cols>
  <sheetData>
    <row r="1" spans="1:6" ht="18" x14ac:dyDescent="0.2">
      <c r="A1" s="139" t="s">
        <v>0</v>
      </c>
      <c r="B1" s="139"/>
      <c r="C1" s="139"/>
      <c r="D1" s="139"/>
      <c r="E1" s="139"/>
      <c r="F1" s="139"/>
    </row>
    <row r="2" spans="1:6" x14ac:dyDescent="0.15">
      <c r="A2" s="140" t="s">
        <v>1</v>
      </c>
      <c r="B2" s="140"/>
      <c r="C2" s="140"/>
      <c r="D2" s="140"/>
      <c r="E2" s="140"/>
      <c r="F2" s="140"/>
    </row>
    <row r="4" spans="1:6" ht="16" x14ac:dyDescent="0.2">
      <c r="A4" s="78" t="s">
        <v>2</v>
      </c>
    </row>
    <row r="5" spans="1:6" x14ac:dyDescent="0.15">
      <c r="A5" s="79" t="s">
        <v>3</v>
      </c>
      <c r="B5" s="79" t="s">
        <v>4</v>
      </c>
      <c r="C5" s="79" t="s">
        <v>5</v>
      </c>
    </row>
    <row r="6" spans="1:6" x14ac:dyDescent="0.15">
      <c r="A6" s="1" t="s">
        <v>6</v>
      </c>
      <c r="B6" t="s">
        <v>7</v>
      </c>
      <c r="C6" t="s">
        <v>8</v>
      </c>
    </row>
    <row r="7" spans="1:6" x14ac:dyDescent="0.15">
      <c r="A7" s="80" t="s">
        <v>9</v>
      </c>
      <c r="B7" t="s">
        <v>10</v>
      </c>
      <c r="C7" t="s">
        <v>11</v>
      </c>
    </row>
    <row r="8" spans="1:6" x14ac:dyDescent="0.15">
      <c r="A8" s="1" t="s">
        <v>12</v>
      </c>
      <c r="B8" t="s">
        <v>13</v>
      </c>
      <c r="C8" t="s">
        <v>14</v>
      </c>
    </row>
    <row r="9" spans="1:6" x14ac:dyDescent="0.15">
      <c r="A9" s="1" t="s">
        <v>15</v>
      </c>
      <c r="B9" t="s">
        <v>16</v>
      </c>
      <c r="C9" t="s">
        <v>17</v>
      </c>
    </row>
    <row r="10" spans="1:6" x14ac:dyDescent="0.15">
      <c r="A10" s="82" t="s">
        <v>18</v>
      </c>
      <c r="B10" t="s">
        <v>19</v>
      </c>
      <c r="C10" t="s">
        <v>20</v>
      </c>
    </row>
    <row r="11" spans="1:6" x14ac:dyDescent="0.15">
      <c r="A11" s="81" t="s">
        <v>21</v>
      </c>
      <c r="B11" t="s">
        <v>22</v>
      </c>
      <c r="C11" t="s">
        <v>20</v>
      </c>
    </row>
    <row r="12" spans="1:6" x14ac:dyDescent="0.15">
      <c r="A12" s="81" t="s">
        <v>23</v>
      </c>
      <c r="B12" t="s">
        <v>24</v>
      </c>
      <c r="C12" t="s">
        <v>20</v>
      </c>
    </row>
    <row r="13" spans="1:6" x14ac:dyDescent="0.15">
      <c r="A13" s="82" t="s">
        <v>25</v>
      </c>
      <c r="B13" t="s">
        <v>26</v>
      </c>
      <c r="C13" t="s">
        <v>27</v>
      </c>
    </row>
    <row r="14" spans="1:6" x14ac:dyDescent="0.15">
      <c r="A14" s="82" t="s">
        <v>28</v>
      </c>
      <c r="B14" t="s">
        <v>29</v>
      </c>
      <c r="C14" t="s">
        <v>30</v>
      </c>
    </row>
    <row r="15" spans="1:6" x14ac:dyDescent="0.15">
      <c r="A15" s="82" t="s">
        <v>31</v>
      </c>
      <c r="B15" t="s">
        <v>32</v>
      </c>
      <c r="C15" t="s">
        <v>33</v>
      </c>
    </row>
    <row r="16" spans="1:6" x14ac:dyDescent="0.15">
      <c r="A16" s="82" t="s">
        <v>34</v>
      </c>
      <c r="B16" t="s">
        <v>35</v>
      </c>
      <c r="C16" t="s">
        <v>33</v>
      </c>
    </row>
    <row r="17" spans="1:3" x14ac:dyDescent="0.15">
      <c r="A17" s="82" t="s">
        <v>36</v>
      </c>
      <c r="B17" t="s">
        <v>37</v>
      </c>
      <c r="C17" t="s">
        <v>38</v>
      </c>
    </row>
    <row r="18" spans="1:3" x14ac:dyDescent="0.15">
      <c r="A18" s="41"/>
      <c r="B18" s="83" t="s">
        <v>39</v>
      </c>
    </row>
    <row r="20" spans="1:3" ht="16" x14ac:dyDescent="0.2">
      <c r="A20" s="78" t="s">
        <v>40</v>
      </c>
    </row>
    <row r="21" spans="1:3" ht="15" x14ac:dyDescent="0.15">
      <c r="A21" s="84" t="s">
        <v>41</v>
      </c>
      <c r="B21" s="88" t="s">
        <v>5</v>
      </c>
      <c r="C21" s="88" t="s">
        <v>42</v>
      </c>
    </row>
    <row r="22" spans="1:3" ht="15" x14ac:dyDescent="0.15">
      <c r="A22" s="61">
        <v>1</v>
      </c>
      <c r="B22" s="89" t="s">
        <v>43</v>
      </c>
      <c r="C22" s="90" t="s">
        <v>44</v>
      </c>
    </row>
    <row r="23" spans="1:3" ht="30" x14ac:dyDescent="0.15">
      <c r="A23" s="61">
        <v>2</v>
      </c>
      <c r="B23" s="89" t="s">
        <v>45</v>
      </c>
      <c r="C23" s="90" t="s">
        <v>46</v>
      </c>
    </row>
    <row r="24" spans="1:3" ht="30" x14ac:dyDescent="0.15">
      <c r="A24" s="61">
        <v>3</v>
      </c>
      <c r="B24" s="89" t="s">
        <v>47</v>
      </c>
      <c r="C24" s="90" t="s">
        <v>48</v>
      </c>
    </row>
    <row r="25" spans="1:3" ht="30" x14ac:dyDescent="0.15">
      <c r="A25" s="61">
        <v>4</v>
      </c>
      <c r="B25" s="89" t="s">
        <v>49</v>
      </c>
      <c r="C25" s="90" t="s">
        <v>50</v>
      </c>
    </row>
    <row r="26" spans="1:3" ht="15" x14ac:dyDescent="0.15">
      <c r="A26" s="61">
        <v>5</v>
      </c>
      <c r="B26" s="89" t="s">
        <v>51</v>
      </c>
      <c r="C26" s="90" t="s">
        <v>52</v>
      </c>
    </row>
    <row r="27" spans="1:3" ht="30" x14ac:dyDescent="0.15">
      <c r="A27" s="61">
        <v>6</v>
      </c>
      <c r="B27" s="89" t="s">
        <v>53</v>
      </c>
      <c r="C27" s="90" t="s">
        <v>54</v>
      </c>
    </row>
    <row r="28" spans="1:3" ht="30" x14ac:dyDescent="0.15">
      <c r="A28" s="61">
        <v>7</v>
      </c>
      <c r="B28" s="89" t="s">
        <v>55</v>
      </c>
      <c r="C28" s="90" t="s">
        <v>56</v>
      </c>
    </row>
    <row r="29" spans="1:3" ht="15" x14ac:dyDescent="0.15">
      <c r="A29" s="61">
        <v>8</v>
      </c>
      <c r="B29" s="89" t="s">
        <v>57</v>
      </c>
      <c r="C29" s="90" t="s">
        <v>58</v>
      </c>
    </row>
    <row r="30" spans="1:3" ht="30" x14ac:dyDescent="0.15">
      <c r="A30" s="61">
        <v>9</v>
      </c>
      <c r="B30" s="89" t="s">
        <v>59</v>
      </c>
      <c r="C30" s="90" t="s">
        <v>60</v>
      </c>
    </row>
    <row r="31" spans="1:3" ht="15" x14ac:dyDescent="0.15">
      <c r="A31" s="61">
        <v>10</v>
      </c>
      <c r="B31" s="89" t="s">
        <v>61</v>
      </c>
      <c r="C31" s="90" t="s">
        <v>62</v>
      </c>
    </row>
    <row r="32" spans="1:3" ht="15" x14ac:dyDescent="0.15">
      <c r="A32" s="64">
        <v>11</v>
      </c>
      <c r="B32" s="91" t="s">
        <v>63</v>
      </c>
      <c r="C32" s="90" t="s">
        <v>64</v>
      </c>
    </row>
    <row r="34" spans="1:3" ht="16" x14ac:dyDescent="0.2">
      <c r="A34" s="78" t="s">
        <v>65</v>
      </c>
    </row>
    <row r="35" spans="1:3" x14ac:dyDescent="0.15">
      <c r="A35" s="79" t="s">
        <v>66</v>
      </c>
      <c r="B35" s="79" t="s">
        <v>67</v>
      </c>
      <c r="C35" s="79" t="s">
        <v>68</v>
      </c>
    </row>
    <row r="36" spans="1:3" ht="15" x14ac:dyDescent="0.2">
      <c r="A36" s="85" t="s">
        <v>69</v>
      </c>
      <c r="B36" t="s">
        <v>70</v>
      </c>
      <c r="C36" t="s">
        <v>71</v>
      </c>
    </row>
    <row r="37" spans="1:3" ht="15" x14ac:dyDescent="0.2">
      <c r="A37" s="85" t="s">
        <v>72</v>
      </c>
      <c r="B37" t="s">
        <v>73</v>
      </c>
      <c r="C37" t="s">
        <v>71</v>
      </c>
    </row>
    <row r="38" spans="1:3" ht="15" x14ac:dyDescent="0.2">
      <c r="A38" s="85" t="s">
        <v>74</v>
      </c>
      <c r="B38" t="s">
        <v>75</v>
      </c>
      <c r="C38" t="s">
        <v>71</v>
      </c>
    </row>
    <row r="39" spans="1:3" ht="15" x14ac:dyDescent="0.2">
      <c r="A39" s="85" t="s">
        <v>76</v>
      </c>
      <c r="B39" t="s">
        <v>77</v>
      </c>
      <c r="C39" t="s">
        <v>71</v>
      </c>
    </row>
    <row r="40" spans="1:3" ht="15" x14ac:dyDescent="0.2">
      <c r="A40" s="85" t="s">
        <v>78</v>
      </c>
      <c r="B40" t="s">
        <v>79</v>
      </c>
      <c r="C40" t="s">
        <v>71</v>
      </c>
    </row>
    <row r="41" spans="1:3" ht="15" x14ac:dyDescent="0.2">
      <c r="A41" s="86" t="s">
        <v>80</v>
      </c>
      <c r="B41" t="s">
        <v>81</v>
      </c>
      <c r="C41" t="s">
        <v>71</v>
      </c>
    </row>
    <row r="42" spans="1:3" ht="15" x14ac:dyDescent="0.2">
      <c r="A42" s="85" t="s">
        <v>82</v>
      </c>
      <c r="B42" t="s">
        <v>83</v>
      </c>
      <c r="C42" t="s">
        <v>84</v>
      </c>
    </row>
    <row r="43" spans="1:3" ht="15" x14ac:dyDescent="0.2">
      <c r="A43" s="85" t="s">
        <v>85</v>
      </c>
      <c r="B43" t="s">
        <v>86</v>
      </c>
      <c r="C43" t="s">
        <v>84</v>
      </c>
    </row>
    <row r="44" spans="1:3" ht="15" x14ac:dyDescent="0.2">
      <c r="A44" s="85" t="s">
        <v>87</v>
      </c>
      <c r="B44" t="s">
        <v>88</v>
      </c>
      <c r="C44" t="s">
        <v>71</v>
      </c>
    </row>
    <row r="45" spans="1:3" ht="15" x14ac:dyDescent="0.2">
      <c r="A45" s="85" t="s">
        <v>89</v>
      </c>
      <c r="B45" t="s">
        <v>90</v>
      </c>
      <c r="C45" t="s">
        <v>91</v>
      </c>
    </row>
    <row r="46" spans="1:3" ht="15" x14ac:dyDescent="0.2">
      <c r="A46" s="85" t="s">
        <v>92</v>
      </c>
      <c r="B46" t="s">
        <v>93</v>
      </c>
      <c r="C46" t="s">
        <v>94</v>
      </c>
    </row>
    <row r="47" spans="1:3" ht="15" x14ac:dyDescent="0.2">
      <c r="A47" s="86" t="s">
        <v>95</v>
      </c>
      <c r="B47" t="s">
        <v>96</v>
      </c>
      <c r="C47" t="s">
        <v>91</v>
      </c>
    </row>
    <row r="49" spans="1:3" ht="16" x14ac:dyDescent="0.2">
      <c r="A49" s="78" t="s">
        <v>97</v>
      </c>
    </row>
    <row r="50" spans="1:3" x14ac:dyDescent="0.15">
      <c r="A50" s="79" t="s">
        <v>98</v>
      </c>
      <c r="B50" s="79" t="s">
        <v>99</v>
      </c>
      <c r="C50" s="79" t="s">
        <v>100</v>
      </c>
    </row>
    <row r="51" spans="1:3" x14ac:dyDescent="0.15">
      <c r="A51" s="4" t="s">
        <v>101</v>
      </c>
      <c r="B51" t="s">
        <v>102</v>
      </c>
      <c r="C51" t="s">
        <v>103</v>
      </c>
    </row>
    <row r="52" spans="1:3" x14ac:dyDescent="0.15">
      <c r="A52" s="1" t="s">
        <v>104</v>
      </c>
      <c r="B52" t="s">
        <v>105</v>
      </c>
      <c r="C52" t="s">
        <v>106</v>
      </c>
    </row>
    <row r="53" spans="1:3" x14ac:dyDescent="0.15">
      <c r="A53" s="50" t="s">
        <v>107</v>
      </c>
      <c r="B53" t="s">
        <v>108</v>
      </c>
      <c r="C53" t="s">
        <v>109</v>
      </c>
    </row>
    <row r="54" spans="1:3" x14ac:dyDescent="0.15">
      <c r="A54" s="63" t="s">
        <v>110</v>
      </c>
      <c r="B54" t="s">
        <v>111</v>
      </c>
      <c r="C54" t="s">
        <v>112</v>
      </c>
    </row>
    <row r="56" spans="1:3" ht="16" x14ac:dyDescent="0.2">
      <c r="A56" s="87" t="s">
        <v>113</v>
      </c>
    </row>
    <row r="57" spans="1:3" ht="30" x14ac:dyDescent="0.15">
      <c r="A57" s="1">
        <v>1</v>
      </c>
      <c r="B57" s="91" t="s">
        <v>114</v>
      </c>
    </row>
    <row r="58" spans="1:3" ht="30" x14ac:dyDescent="0.15">
      <c r="A58">
        <v>2</v>
      </c>
      <c r="B58" s="90" t="s">
        <v>115</v>
      </c>
    </row>
    <row r="59" spans="1:3" ht="30" x14ac:dyDescent="0.15">
      <c r="A59">
        <v>3</v>
      </c>
      <c r="B59" s="90" t="s">
        <v>116</v>
      </c>
    </row>
    <row r="60" spans="1:3" ht="30" x14ac:dyDescent="0.15">
      <c r="A60">
        <v>4</v>
      </c>
      <c r="B60" s="90" t="s">
        <v>117</v>
      </c>
    </row>
    <row r="61" spans="1:3" ht="30" x14ac:dyDescent="0.15">
      <c r="A61">
        <v>5</v>
      </c>
      <c r="B61" s="90" t="s">
        <v>118</v>
      </c>
    </row>
    <row r="62" spans="1:3" ht="30" x14ac:dyDescent="0.15">
      <c r="A62">
        <v>6</v>
      </c>
      <c r="B62" s="90" t="s">
        <v>119</v>
      </c>
    </row>
    <row r="63" spans="1:3" ht="30" x14ac:dyDescent="0.15">
      <c r="A63">
        <v>7</v>
      </c>
      <c r="B63" s="90" t="s">
        <v>120</v>
      </c>
    </row>
    <row r="64" spans="1:3" ht="30" x14ac:dyDescent="0.15">
      <c r="A64">
        <v>8</v>
      </c>
      <c r="B64" s="90" t="s">
        <v>121</v>
      </c>
    </row>
    <row r="65" spans="1:2" ht="30" x14ac:dyDescent="0.15">
      <c r="A65">
        <v>9</v>
      </c>
      <c r="B65" s="90" t="s">
        <v>122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90A6-7000-41D0-AEC9-3B2A9D197BB0}">
  <sheetPr>
    <tabColor rgb="FFFF6600"/>
  </sheetPr>
  <dimension ref="A1:D77"/>
  <sheetViews>
    <sheetView workbookViewId="0">
      <pane ySplit="2" topLeftCell="A58" activePane="bottomLeft" state="frozen"/>
      <selection pane="bottomLeft" activeCell="E13" sqref="E13"/>
    </sheetView>
  </sheetViews>
  <sheetFormatPr baseColWidth="10" defaultColWidth="8.83203125" defaultRowHeight="14" x14ac:dyDescent="0.15"/>
  <cols>
    <col min="1" max="1" width="5.83203125" customWidth="1"/>
    <col min="2" max="2" width="41.5" customWidth="1"/>
    <col min="3" max="3" width="32.5" customWidth="1"/>
    <col min="4" max="4" width="26.6640625" customWidth="1"/>
  </cols>
  <sheetData>
    <row r="1" spans="1:4" ht="39.75" customHeight="1" x14ac:dyDescent="0.2">
      <c r="A1" s="144" t="s">
        <v>123</v>
      </c>
      <c r="B1" s="145"/>
      <c r="C1" s="145"/>
      <c r="D1" s="145"/>
    </row>
    <row r="2" spans="1:4" ht="39.75" customHeight="1" x14ac:dyDescent="0.2">
      <c r="A2" s="146" t="s">
        <v>124</v>
      </c>
      <c r="B2" s="145"/>
      <c r="C2" s="145"/>
      <c r="D2" s="145"/>
    </row>
    <row r="3" spans="1:4" ht="8.25" customHeight="1" x14ac:dyDescent="0.15">
      <c r="A3" s="7"/>
      <c r="B3" s="7"/>
      <c r="C3" s="7"/>
      <c r="D3" s="7"/>
    </row>
    <row r="4" spans="1:4" ht="24.75" customHeight="1" x14ac:dyDescent="0.2">
      <c r="A4" s="147" t="s">
        <v>125</v>
      </c>
      <c r="B4" s="142"/>
      <c r="C4" s="142"/>
      <c r="D4" s="142"/>
    </row>
    <row r="5" spans="1:4" ht="24.75" customHeight="1" x14ac:dyDescent="0.15">
      <c r="A5" s="148" t="s">
        <v>126</v>
      </c>
      <c r="B5" s="142"/>
      <c r="C5" s="142"/>
      <c r="D5" s="142"/>
    </row>
    <row r="6" spans="1:4" ht="24.75" customHeight="1" x14ac:dyDescent="0.15">
      <c r="A6" s="148" t="s">
        <v>127</v>
      </c>
      <c r="B6" s="142"/>
      <c r="C6" s="142"/>
      <c r="D6" s="142"/>
    </row>
    <row r="7" spans="1:4" ht="8.25" customHeight="1" x14ac:dyDescent="0.15">
      <c r="A7" s="7"/>
      <c r="B7" s="106"/>
      <c r="C7" s="106"/>
      <c r="D7" s="106"/>
    </row>
    <row r="8" spans="1:4" ht="35.25" customHeight="1" x14ac:dyDescent="0.15">
      <c r="A8" s="149" t="s">
        <v>128</v>
      </c>
      <c r="B8" s="142"/>
      <c r="C8" s="142"/>
      <c r="D8" s="142"/>
    </row>
    <row r="9" spans="1:4" x14ac:dyDescent="0.15">
      <c r="B9" s="90"/>
      <c r="C9" s="90"/>
      <c r="D9" s="90"/>
    </row>
    <row r="10" spans="1:4" ht="15" x14ac:dyDescent="0.15">
      <c r="A10" s="95" t="s">
        <v>129</v>
      </c>
      <c r="B10" s="107" t="s">
        <v>130</v>
      </c>
      <c r="C10" s="107" t="s">
        <v>131</v>
      </c>
      <c r="D10" s="108" t="s">
        <v>132</v>
      </c>
    </row>
    <row r="11" spans="1:4" ht="15" x14ac:dyDescent="0.15">
      <c r="A11" s="96">
        <v>1</v>
      </c>
      <c r="B11" s="109" t="s">
        <v>133</v>
      </c>
      <c r="C11" s="109" t="s">
        <v>134</v>
      </c>
      <c r="D11" s="110" t="s">
        <v>135</v>
      </c>
    </row>
    <row r="12" spans="1:4" ht="15" x14ac:dyDescent="0.15">
      <c r="A12" s="97">
        <v>2</v>
      </c>
      <c r="B12" s="111" t="s">
        <v>136</v>
      </c>
      <c r="C12" s="111" t="s">
        <v>137</v>
      </c>
      <c r="D12" s="112" t="s">
        <v>135</v>
      </c>
    </row>
    <row r="13" spans="1:4" ht="15" x14ac:dyDescent="0.15">
      <c r="A13" s="96">
        <v>3</v>
      </c>
      <c r="B13" s="109" t="s">
        <v>138</v>
      </c>
      <c r="C13" s="109" t="s">
        <v>139</v>
      </c>
      <c r="D13" s="110" t="s">
        <v>135</v>
      </c>
    </row>
    <row r="14" spans="1:4" ht="15" x14ac:dyDescent="0.15">
      <c r="A14" s="97">
        <v>4</v>
      </c>
      <c r="B14" s="111" t="s">
        <v>140</v>
      </c>
      <c r="C14" s="111" t="s">
        <v>141</v>
      </c>
      <c r="D14" s="113" t="s">
        <v>142</v>
      </c>
    </row>
    <row r="15" spans="1:4" ht="15" x14ac:dyDescent="0.15">
      <c r="A15" s="96">
        <v>5</v>
      </c>
      <c r="B15" s="109" t="s">
        <v>143</v>
      </c>
      <c r="C15" s="109" t="s">
        <v>144</v>
      </c>
      <c r="D15" s="110" t="s">
        <v>135</v>
      </c>
    </row>
    <row r="16" spans="1:4" ht="15" x14ac:dyDescent="0.15">
      <c r="A16" s="97">
        <v>6</v>
      </c>
      <c r="B16" s="111" t="s">
        <v>145</v>
      </c>
      <c r="C16" s="111" t="s">
        <v>146</v>
      </c>
      <c r="D16" s="113" t="s">
        <v>142</v>
      </c>
    </row>
    <row r="17" spans="1:4" ht="15" x14ac:dyDescent="0.15">
      <c r="A17" s="96">
        <v>7</v>
      </c>
      <c r="B17" s="109" t="s">
        <v>147</v>
      </c>
      <c r="C17" s="109" t="s">
        <v>148</v>
      </c>
      <c r="D17" s="110" t="s">
        <v>135</v>
      </c>
    </row>
    <row r="18" spans="1:4" ht="30" x14ac:dyDescent="0.15">
      <c r="A18" s="97">
        <v>8</v>
      </c>
      <c r="B18" s="111" t="s">
        <v>149</v>
      </c>
      <c r="C18" s="111" t="s">
        <v>150</v>
      </c>
      <c r="D18" s="113" t="s">
        <v>142</v>
      </c>
    </row>
    <row r="19" spans="1:4" ht="15" x14ac:dyDescent="0.15">
      <c r="A19" s="96">
        <v>9</v>
      </c>
      <c r="B19" s="109" t="s">
        <v>151</v>
      </c>
      <c r="C19" s="109" t="s">
        <v>152</v>
      </c>
      <c r="D19" s="114" t="s">
        <v>142</v>
      </c>
    </row>
    <row r="20" spans="1:4" ht="15" x14ac:dyDescent="0.15">
      <c r="A20" s="97">
        <v>10</v>
      </c>
      <c r="B20" s="111" t="s">
        <v>153</v>
      </c>
      <c r="C20" s="111" t="s">
        <v>154</v>
      </c>
      <c r="D20" s="112" t="s">
        <v>135</v>
      </c>
    </row>
    <row r="21" spans="1:4" ht="15" x14ac:dyDescent="0.15">
      <c r="A21" s="98">
        <v>11</v>
      </c>
      <c r="B21" s="115" t="s">
        <v>155</v>
      </c>
      <c r="C21" s="115" t="s">
        <v>156</v>
      </c>
      <c r="D21" s="116" t="s">
        <v>157</v>
      </c>
    </row>
    <row r="22" spans="1:4" ht="8.25" customHeight="1" x14ac:dyDescent="0.15">
      <c r="B22" s="90"/>
      <c r="C22" s="90"/>
      <c r="D22" s="90"/>
    </row>
    <row r="23" spans="1:4" ht="35.25" customHeight="1" x14ac:dyDescent="0.15">
      <c r="A23" s="149" t="s">
        <v>158</v>
      </c>
      <c r="B23" s="142"/>
      <c r="C23" s="142"/>
      <c r="D23" s="142"/>
    </row>
    <row r="24" spans="1:4" ht="3.75" customHeight="1" x14ac:dyDescent="0.15">
      <c r="A24" s="93"/>
      <c r="B24" s="117"/>
      <c r="C24" s="117"/>
      <c r="D24" s="117"/>
    </row>
    <row r="25" spans="1:4" ht="15" x14ac:dyDescent="0.15">
      <c r="A25" s="95" t="s">
        <v>159</v>
      </c>
      <c r="B25" s="107" t="s">
        <v>160</v>
      </c>
      <c r="C25" s="107" t="s">
        <v>161</v>
      </c>
      <c r="D25" s="108" t="s">
        <v>162</v>
      </c>
    </row>
    <row r="26" spans="1:4" ht="30" x14ac:dyDescent="0.15">
      <c r="A26" s="99" t="s">
        <v>163</v>
      </c>
      <c r="B26" s="109" t="s">
        <v>164</v>
      </c>
      <c r="C26" s="109" t="s">
        <v>165</v>
      </c>
      <c r="D26" s="114" t="s">
        <v>166</v>
      </c>
    </row>
    <row r="27" spans="1:4" ht="15" x14ac:dyDescent="0.15">
      <c r="A27" s="100" t="s">
        <v>167</v>
      </c>
      <c r="B27" s="111" t="s">
        <v>168</v>
      </c>
      <c r="C27" s="111" t="s">
        <v>169</v>
      </c>
      <c r="D27" s="113" t="s">
        <v>170</v>
      </c>
    </row>
    <row r="28" spans="1:4" ht="30" x14ac:dyDescent="0.15">
      <c r="A28" s="99" t="s">
        <v>171</v>
      </c>
      <c r="B28" s="109" t="s">
        <v>172</v>
      </c>
      <c r="C28" s="109" t="s">
        <v>173</v>
      </c>
      <c r="D28" s="114" t="s">
        <v>174</v>
      </c>
    </row>
    <row r="29" spans="1:4" ht="15" x14ac:dyDescent="0.15">
      <c r="A29" s="100" t="s">
        <v>175</v>
      </c>
      <c r="B29" s="111" t="s">
        <v>176</v>
      </c>
      <c r="C29" s="111" t="s">
        <v>177</v>
      </c>
      <c r="D29" s="113" t="s">
        <v>178</v>
      </c>
    </row>
    <row r="30" spans="1:4" ht="15" x14ac:dyDescent="0.15">
      <c r="A30" s="99" t="s">
        <v>179</v>
      </c>
      <c r="B30" s="109" t="s">
        <v>180</v>
      </c>
      <c r="C30" s="109" t="s">
        <v>181</v>
      </c>
      <c r="D30" s="114" t="s">
        <v>182</v>
      </c>
    </row>
    <row r="31" spans="1:4" ht="15" x14ac:dyDescent="0.15">
      <c r="A31" s="101" t="s">
        <v>183</v>
      </c>
      <c r="B31" s="118" t="s">
        <v>184</v>
      </c>
      <c r="C31" s="118" t="s">
        <v>185</v>
      </c>
      <c r="D31" s="119" t="s">
        <v>186</v>
      </c>
    </row>
    <row r="32" spans="1:4" ht="8.25" customHeight="1" x14ac:dyDescent="0.15">
      <c r="B32" s="90"/>
      <c r="C32" s="90"/>
      <c r="D32" s="90"/>
    </row>
    <row r="33" spans="1:4" ht="35.25" customHeight="1" x14ac:dyDescent="0.15">
      <c r="A33" s="149" t="s">
        <v>187</v>
      </c>
      <c r="B33" s="142"/>
      <c r="C33" s="142"/>
      <c r="D33" s="142"/>
    </row>
    <row r="34" spans="1:4" ht="3.75" customHeight="1" x14ac:dyDescent="0.15">
      <c r="A34" s="93"/>
      <c r="B34" s="117"/>
      <c r="C34" s="117"/>
      <c r="D34" s="117"/>
    </row>
    <row r="35" spans="1:4" ht="15" x14ac:dyDescent="0.15">
      <c r="A35" s="95" t="s">
        <v>41</v>
      </c>
      <c r="B35" s="107" t="s">
        <v>66</v>
      </c>
      <c r="C35" s="107" t="s">
        <v>188</v>
      </c>
      <c r="D35" s="108" t="s">
        <v>189</v>
      </c>
    </row>
    <row r="36" spans="1:4" ht="15" x14ac:dyDescent="0.15">
      <c r="A36" s="102" t="s">
        <v>190</v>
      </c>
      <c r="B36" s="109" t="s">
        <v>141</v>
      </c>
      <c r="C36" s="109" t="s">
        <v>191</v>
      </c>
      <c r="D36" s="120" t="s">
        <v>192</v>
      </c>
    </row>
    <row r="37" spans="1:4" ht="15" x14ac:dyDescent="0.15">
      <c r="A37" s="103" t="s">
        <v>193</v>
      </c>
      <c r="B37" s="111" t="s">
        <v>194</v>
      </c>
      <c r="C37" s="111" t="s">
        <v>195</v>
      </c>
      <c r="D37" s="121" t="s">
        <v>196</v>
      </c>
    </row>
    <row r="38" spans="1:4" ht="15" x14ac:dyDescent="0.15">
      <c r="A38" s="102" t="s">
        <v>197</v>
      </c>
      <c r="B38" s="109" t="s">
        <v>198</v>
      </c>
      <c r="C38" s="109" t="s">
        <v>199</v>
      </c>
      <c r="D38" s="120" t="s">
        <v>200</v>
      </c>
    </row>
    <row r="39" spans="1:4" ht="15" x14ac:dyDescent="0.15">
      <c r="A39" s="103" t="s">
        <v>201</v>
      </c>
      <c r="B39" s="111" t="s">
        <v>202</v>
      </c>
      <c r="C39" s="111" t="s">
        <v>203</v>
      </c>
      <c r="D39" s="121" t="s">
        <v>204</v>
      </c>
    </row>
    <row r="40" spans="1:4" ht="30" x14ac:dyDescent="0.15">
      <c r="A40" s="102" t="s">
        <v>205</v>
      </c>
      <c r="B40" s="109" t="s">
        <v>206</v>
      </c>
      <c r="C40" s="109" t="s">
        <v>207</v>
      </c>
      <c r="D40" s="120" t="s">
        <v>208</v>
      </c>
    </row>
    <row r="41" spans="1:4" ht="15" x14ac:dyDescent="0.15">
      <c r="A41" s="103" t="s">
        <v>209</v>
      </c>
      <c r="B41" s="111" t="s">
        <v>152</v>
      </c>
      <c r="C41" s="111" t="s">
        <v>210</v>
      </c>
      <c r="D41" s="121" t="s">
        <v>211</v>
      </c>
    </row>
    <row r="42" spans="1:4" ht="15" x14ac:dyDescent="0.15">
      <c r="A42" s="98" t="s">
        <v>212</v>
      </c>
      <c r="B42" s="115" t="s">
        <v>213</v>
      </c>
      <c r="C42" s="115" t="s">
        <v>214</v>
      </c>
      <c r="D42" s="122" t="s">
        <v>215</v>
      </c>
    </row>
    <row r="43" spans="1:4" ht="8.25" customHeight="1" x14ac:dyDescent="0.15">
      <c r="B43" s="90"/>
      <c r="C43" s="90"/>
      <c r="D43" s="90"/>
    </row>
    <row r="44" spans="1:4" ht="35.25" customHeight="1" x14ac:dyDescent="0.15">
      <c r="A44" s="149" t="s">
        <v>216</v>
      </c>
      <c r="B44" s="142"/>
      <c r="C44" s="142"/>
      <c r="D44" s="142"/>
    </row>
    <row r="45" spans="1:4" ht="3.75" customHeight="1" x14ac:dyDescent="0.15">
      <c r="A45" s="93"/>
      <c r="B45" s="117"/>
      <c r="C45" s="117"/>
      <c r="D45" s="117"/>
    </row>
    <row r="46" spans="1:4" ht="15" x14ac:dyDescent="0.15">
      <c r="A46" s="95" t="s">
        <v>41</v>
      </c>
      <c r="B46" s="107" t="s">
        <v>5</v>
      </c>
      <c r="C46" s="107" t="s">
        <v>217</v>
      </c>
      <c r="D46" s="108" t="s">
        <v>218</v>
      </c>
    </row>
    <row r="47" spans="1:4" ht="30" x14ac:dyDescent="0.15">
      <c r="A47" s="102">
        <v>1</v>
      </c>
      <c r="B47" s="109" t="s">
        <v>219</v>
      </c>
      <c r="C47" s="109" t="s">
        <v>220</v>
      </c>
      <c r="D47" s="114" t="s">
        <v>221</v>
      </c>
    </row>
    <row r="48" spans="1:4" ht="30" x14ac:dyDescent="0.15">
      <c r="A48" s="103">
        <v>2</v>
      </c>
      <c r="B48" s="111" t="s">
        <v>222</v>
      </c>
      <c r="C48" s="111" t="s">
        <v>223</v>
      </c>
      <c r="D48" s="113" t="s">
        <v>224</v>
      </c>
    </row>
    <row r="49" spans="1:4" ht="30" x14ac:dyDescent="0.15">
      <c r="A49" s="102">
        <v>3</v>
      </c>
      <c r="B49" s="109" t="s">
        <v>225</v>
      </c>
      <c r="C49" s="109" t="s">
        <v>226</v>
      </c>
      <c r="D49" s="114" t="s">
        <v>227</v>
      </c>
    </row>
    <row r="50" spans="1:4" ht="30" x14ac:dyDescent="0.15">
      <c r="A50" s="103">
        <v>4</v>
      </c>
      <c r="B50" s="111" t="s">
        <v>228</v>
      </c>
      <c r="C50" s="111" t="s">
        <v>229</v>
      </c>
      <c r="D50" s="113" t="s">
        <v>230</v>
      </c>
    </row>
    <row r="51" spans="1:4" ht="15" x14ac:dyDescent="0.15">
      <c r="A51" s="102">
        <v>5</v>
      </c>
      <c r="B51" s="109" t="s">
        <v>231</v>
      </c>
      <c r="C51" s="109" t="s">
        <v>232</v>
      </c>
      <c r="D51" s="114" t="s">
        <v>233</v>
      </c>
    </row>
    <row r="52" spans="1:4" ht="30" x14ac:dyDescent="0.15">
      <c r="A52" s="103">
        <v>6</v>
      </c>
      <c r="B52" s="111" t="s">
        <v>234</v>
      </c>
      <c r="C52" s="111" t="s">
        <v>235</v>
      </c>
      <c r="D52" s="113" t="s">
        <v>236</v>
      </c>
    </row>
    <row r="53" spans="1:4" ht="30" x14ac:dyDescent="0.15">
      <c r="A53" s="98">
        <v>7</v>
      </c>
      <c r="B53" s="115" t="s">
        <v>237</v>
      </c>
      <c r="C53" s="115" t="s">
        <v>238</v>
      </c>
      <c r="D53" s="123" t="s">
        <v>239</v>
      </c>
    </row>
    <row r="54" spans="1:4" ht="8.25" customHeight="1" x14ac:dyDescent="0.15">
      <c r="B54" s="90"/>
      <c r="C54" s="90"/>
      <c r="D54" s="90"/>
    </row>
    <row r="55" spans="1:4" ht="35.25" customHeight="1" x14ac:dyDescent="0.15">
      <c r="A55" s="149" t="s">
        <v>240</v>
      </c>
      <c r="B55" s="142"/>
      <c r="C55" s="142"/>
      <c r="D55" s="142"/>
    </row>
    <row r="56" spans="1:4" ht="3.75" customHeight="1" x14ac:dyDescent="0.15">
      <c r="A56" s="93"/>
      <c r="B56" s="117"/>
      <c r="C56" s="117"/>
      <c r="D56" s="117"/>
    </row>
    <row r="57" spans="1:4" ht="24.75" customHeight="1" x14ac:dyDescent="0.2">
      <c r="A57" s="150" t="s">
        <v>241</v>
      </c>
      <c r="B57" s="142"/>
      <c r="C57" s="142"/>
      <c r="D57" s="142"/>
    </row>
    <row r="58" spans="1:4" x14ac:dyDescent="0.15">
      <c r="A58" s="143" t="s">
        <v>242</v>
      </c>
      <c r="B58" s="142"/>
      <c r="C58" s="142"/>
      <c r="D58" s="142"/>
    </row>
    <row r="59" spans="1:4" x14ac:dyDescent="0.15">
      <c r="A59" s="143" t="s">
        <v>243</v>
      </c>
      <c r="B59" s="142"/>
      <c r="C59" s="142"/>
      <c r="D59" s="142"/>
    </row>
    <row r="60" spans="1:4" x14ac:dyDescent="0.15">
      <c r="A60" s="143" t="s">
        <v>244</v>
      </c>
      <c r="B60" s="142"/>
      <c r="C60" s="142"/>
      <c r="D60" s="142"/>
    </row>
    <row r="61" spans="1:4" x14ac:dyDescent="0.15">
      <c r="A61" s="143" t="s">
        <v>245</v>
      </c>
      <c r="B61" s="142"/>
      <c r="C61" s="142"/>
      <c r="D61" s="142"/>
    </row>
    <row r="62" spans="1:4" x14ac:dyDescent="0.15">
      <c r="A62" s="143" t="s">
        <v>246</v>
      </c>
      <c r="B62" s="142"/>
      <c r="C62" s="142"/>
      <c r="D62" s="142"/>
    </row>
    <row r="63" spans="1:4" x14ac:dyDescent="0.15">
      <c r="A63" s="143" t="s">
        <v>247</v>
      </c>
      <c r="B63" s="142"/>
      <c r="C63" s="142"/>
      <c r="D63" s="142"/>
    </row>
    <row r="64" spans="1:4" x14ac:dyDescent="0.15">
      <c r="A64" s="143" t="s">
        <v>248</v>
      </c>
      <c r="B64" s="142"/>
      <c r="C64" s="142"/>
      <c r="D64" s="142"/>
    </row>
    <row r="65" spans="1:4" ht="8.25" customHeight="1" x14ac:dyDescent="0.15">
      <c r="B65" s="90"/>
      <c r="C65" s="90"/>
      <c r="D65" s="90"/>
    </row>
    <row r="66" spans="1:4" ht="24.75" customHeight="1" x14ac:dyDescent="0.2">
      <c r="A66" s="141" t="s">
        <v>249</v>
      </c>
      <c r="B66" s="142"/>
      <c r="C66" s="142"/>
      <c r="D66" s="142"/>
    </row>
    <row r="67" spans="1:4" ht="30" x14ac:dyDescent="0.15">
      <c r="A67" s="104">
        <v>1</v>
      </c>
      <c r="B67" s="124" t="s">
        <v>166</v>
      </c>
      <c r="C67" s="125" t="s">
        <v>250</v>
      </c>
      <c r="D67" s="126" t="s">
        <v>251</v>
      </c>
    </row>
    <row r="68" spans="1:4" ht="15" x14ac:dyDescent="0.15">
      <c r="A68" s="103">
        <v>2</v>
      </c>
      <c r="B68" s="127" t="s">
        <v>174</v>
      </c>
      <c r="C68" s="111" t="s">
        <v>252</v>
      </c>
      <c r="D68" s="113" t="s">
        <v>171</v>
      </c>
    </row>
    <row r="69" spans="1:4" ht="15" x14ac:dyDescent="0.15">
      <c r="A69" s="102">
        <v>3</v>
      </c>
      <c r="B69" s="128" t="s">
        <v>253</v>
      </c>
      <c r="C69" s="109" t="s">
        <v>254</v>
      </c>
      <c r="D69" s="114" t="s">
        <v>255</v>
      </c>
    </row>
    <row r="70" spans="1:4" ht="15" x14ac:dyDescent="0.15">
      <c r="A70" s="103">
        <v>4</v>
      </c>
      <c r="B70" s="127" t="s">
        <v>256</v>
      </c>
      <c r="C70" s="111" t="s">
        <v>257</v>
      </c>
      <c r="D70" s="113" t="s">
        <v>258</v>
      </c>
    </row>
    <row r="71" spans="1:4" ht="15" x14ac:dyDescent="0.15">
      <c r="A71" s="102">
        <v>5</v>
      </c>
      <c r="B71" s="128" t="s">
        <v>259</v>
      </c>
      <c r="C71" s="109" t="s">
        <v>260</v>
      </c>
      <c r="D71" s="114" t="s">
        <v>261</v>
      </c>
    </row>
    <row r="72" spans="1:4" ht="15" x14ac:dyDescent="0.15">
      <c r="A72" s="105">
        <v>6</v>
      </c>
      <c r="B72" s="129" t="s">
        <v>262</v>
      </c>
      <c r="C72" s="118" t="s">
        <v>263</v>
      </c>
      <c r="D72" s="119" t="s">
        <v>264</v>
      </c>
    </row>
    <row r="73" spans="1:4" ht="8.25" customHeight="1" x14ac:dyDescent="0.15">
      <c r="B73" s="90"/>
      <c r="C73" s="90"/>
      <c r="D73" s="90"/>
    </row>
    <row r="74" spans="1:4" ht="24.75" customHeight="1" x14ac:dyDescent="0.2">
      <c r="A74" s="141" t="s">
        <v>265</v>
      </c>
      <c r="B74" s="142"/>
      <c r="C74" s="142"/>
      <c r="D74" s="142"/>
    </row>
    <row r="75" spans="1:4" ht="15" x14ac:dyDescent="0.15">
      <c r="A75" s="92">
        <v>1</v>
      </c>
      <c r="B75" s="130" t="s">
        <v>101</v>
      </c>
      <c r="C75" s="131" t="s">
        <v>266</v>
      </c>
      <c r="D75" s="131" t="s">
        <v>267</v>
      </c>
    </row>
    <row r="76" spans="1:4" ht="15" x14ac:dyDescent="0.15">
      <c r="A76" s="56">
        <v>2</v>
      </c>
      <c r="B76" s="89" t="s">
        <v>104</v>
      </c>
      <c r="C76" s="90" t="s">
        <v>105</v>
      </c>
      <c r="D76" s="90" t="s">
        <v>268</v>
      </c>
    </row>
    <row r="77" spans="1:4" ht="15" x14ac:dyDescent="0.15">
      <c r="A77" s="94">
        <v>3</v>
      </c>
      <c r="B77" s="132" t="s">
        <v>107</v>
      </c>
      <c r="C77" s="133" t="s">
        <v>269</v>
      </c>
      <c r="D77" s="133" t="s">
        <v>270</v>
      </c>
    </row>
  </sheetData>
  <mergeCells count="20">
    <mergeCell ref="A58:D58"/>
    <mergeCell ref="A1:D1"/>
    <mergeCell ref="A2:D2"/>
    <mergeCell ref="A4:D4"/>
    <mergeCell ref="A5:D5"/>
    <mergeCell ref="A6:D6"/>
    <mergeCell ref="A8:D8"/>
    <mergeCell ref="A23:D23"/>
    <mergeCell ref="A33:D33"/>
    <mergeCell ref="A44:D44"/>
    <mergeCell ref="A55:D55"/>
    <mergeCell ref="A57:D57"/>
    <mergeCell ref="A66:D66"/>
    <mergeCell ref="A74:D74"/>
    <mergeCell ref="A59:D59"/>
    <mergeCell ref="A60:D60"/>
    <mergeCell ref="A61:D61"/>
    <mergeCell ref="A62:D62"/>
    <mergeCell ref="A63:D63"/>
    <mergeCell ref="A64:D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9886-2278-4823-A810-C728601FDB31}">
  <dimension ref="A1:F20"/>
  <sheetViews>
    <sheetView workbookViewId="0">
      <pane ySplit="8" topLeftCell="A13" activePane="bottomLeft" state="frozen"/>
      <selection pane="bottomLeft" activeCell="E9" sqref="E9"/>
    </sheetView>
  </sheetViews>
  <sheetFormatPr baseColWidth="10" defaultColWidth="8.83203125" defaultRowHeight="14" x14ac:dyDescent="0.15"/>
  <cols>
    <col min="1" max="1" width="5.83203125" customWidth="1"/>
    <col min="2" max="2" width="32.5" customWidth="1"/>
    <col min="3" max="3" width="29.6640625" customWidth="1"/>
    <col min="4" max="4" width="11.83203125" customWidth="1"/>
    <col min="5" max="5" width="19.1640625" customWidth="1"/>
    <col min="6" max="6" width="29.6640625" customWidth="1"/>
  </cols>
  <sheetData>
    <row r="1" spans="1:6" ht="20" x14ac:dyDescent="0.2">
      <c r="A1" s="6" t="s">
        <v>271</v>
      </c>
    </row>
    <row r="2" spans="1:6" x14ac:dyDescent="0.15">
      <c r="A2" s="8" t="s">
        <v>272</v>
      </c>
    </row>
    <row r="3" spans="1:6" x14ac:dyDescent="0.15">
      <c r="A3" t="s">
        <v>273</v>
      </c>
    </row>
    <row r="4" spans="1:6" x14ac:dyDescent="0.15">
      <c r="A4" s="9" t="s">
        <v>274</v>
      </c>
      <c r="C4" s="10" t="s">
        <v>275</v>
      </c>
    </row>
    <row r="5" spans="1:6" x14ac:dyDescent="0.15">
      <c r="A5" s="9" t="s">
        <v>276</v>
      </c>
      <c r="C5" s="10" t="s">
        <v>277</v>
      </c>
    </row>
    <row r="7" spans="1:6" ht="17" x14ac:dyDescent="0.2">
      <c r="A7" s="11" t="s">
        <v>278</v>
      </c>
      <c r="B7" s="3"/>
      <c r="C7" s="3"/>
      <c r="D7" s="3"/>
      <c r="E7" s="3"/>
      <c r="F7" s="3"/>
    </row>
    <row r="8" spans="1:6" x14ac:dyDescent="0.15">
      <c r="A8" s="19" t="s">
        <v>279</v>
      </c>
      <c r="B8" s="19" t="s">
        <v>280</v>
      </c>
      <c r="C8" s="19" t="s">
        <v>281</v>
      </c>
      <c r="D8" s="19" t="s">
        <v>282</v>
      </c>
      <c r="E8" s="19" t="s">
        <v>283</v>
      </c>
    </row>
    <row r="9" spans="1:6" x14ac:dyDescent="0.15">
      <c r="A9" s="17">
        <v>1</v>
      </c>
      <c r="B9" s="16" t="s">
        <v>81</v>
      </c>
      <c r="C9" s="16" t="s">
        <v>80</v>
      </c>
      <c r="D9" s="17" t="s">
        <v>284</v>
      </c>
      <c r="E9" s="18">
        <f>ChiPhi_G1!E14</f>
        <v>482534234.14218748</v>
      </c>
    </row>
    <row r="10" spans="1:6" x14ac:dyDescent="0.15">
      <c r="A10" s="17">
        <v>2</v>
      </c>
      <c r="B10" s="16" t="s">
        <v>83</v>
      </c>
      <c r="C10" s="16" t="s">
        <v>285</v>
      </c>
      <c r="D10" s="17" t="s">
        <v>286</v>
      </c>
      <c r="E10" s="18">
        <f>E9*D19</f>
        <v>313647252.19242185</v>
      </c>
    </row>
    <row r="11" spans="1:6" x14ac:dyDescent="0.15">
      <c r="A11" s="17">
        <v>3</v>
      </c>
      <c r="B11" s="16" t="s">
        <v>86</v>
      </c>
      <c r="C11" s="16" t="s">
        <v>287</v>
      </c>
      <c r="D11" s="17" t="s">
        <v>288</v>
      </c>
      <c r="E11" s="18">
        <f>(E9+E10)*D18</f>
        <v>47770889.180076554</v>
      </c>
    </row>
    <row r="12" spans="1:6" x14ac:dyDescent="0.15">
      <c r="A12" s="17">
        <v>4</v>
      </c>
      <c r="B12" s="16" t="s">
        <v>289</v>
      </c>
      <c r="C12" s="16" t="s">
        <v>290</v>
      </c>
      <c r="D12" s="17" t="s">
        <v>291</v>
      </c>
      <c r="E12" s="58">
        <f>E9+E10+E11</f>
        <v>843952375.51468587</v>
      </c>
    </row>
    <row r="13" spans="1:6" x14ac:dyDescent="0.15">
      <c r="A13" s="17">
        <v>5</v>
      </c>
      <c r="B13" s="16" t="s">
        <v>292</v>
      </c>
      <c r="C13" s="16" t="s">
        <v>293</v>
      </c>
      <c r="D13" s="17" t="s">
        <v>294</v>
      </c>
      <c r="E13" s="18">
        <f>E12*D20</f>
        <v>84395237.551468596</v>
      </c>
    </row>
    <row r="14" spans="1:6" x14ac:dyDescent="0.15">
      <c r="A14" s="21"/>
      <c r="B14" s="20" t="s">
        <v>295</v>
      </c>
      <c r="C14" s="20" t="s">
        <v>89</v>
      </c>
      <c r="D14" s="20" t="s">
        <v>296</v>
      </c>
      <c r="E14" s="40">
        <f>E12+E13</f>
        <v>928347613.06615448</v>
      </c>
    </row>
    <row r="15" spans="1:6" x14ac:dyDescent="0.15">
      <c r="A15" s="7"/>
    </row>
    <row r="17" spans="1:5" ht="16" x14ac:dyDescent="0.2">
      <c r="A17" s="24" t="s">
        <v>297</v>
      </c>
      <c r="B17" s="5"/>
      <c r="C17" s="5"/>
      <c r="D17" s="5"/>
      <c r="E17" s="5"/>
    </row>
    <row r="18" spans="1:5" x14ac:dyDescent="0.15">
      <c r="A18" s="17">
        <v>1</v>
      </c>
      <c r="B18" s="16" t="s">
        <v>298</v>
      </c>
      <c r="C18" s="16" t="s">
        <v>299</v>
      </c>
      <c r="D18" s="23">
        <v>0.06</v>
      </c>
      <c r="E18" s="16" t="s">
        <v>300</v>
      </c>
    </row>
    <row r="19" spans="1:5" x14ac:dyDescent="0.15">
      <c r="A19" s="17">
        <v>2</v>
      </c>
      <c r="B19" s="16" t="s">
        <v>301</v>
      </c>
      <c r="C19" s="16" t="s">
        <v>82</v>
      </c>
      <c r="D19" s="23">
        <v>0.65</v>
      </c>
      <c r="E19" s="16" t="s">
        <v>300</v>
      </c>
    </row>
    <row r="20" spans="1:5" x14ac:dyDescent="0.15">
      <c r="A20">
        <v>3</v>
      </c>
      <c r="B20" t="s">
        <v>302</v>
      </c>
      <c r="C20" t="s">
        <v>303</v>
      </c>
      <c r="D20">
        <v>0.1</v>
      </c>
      <c r="E20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0FDF-4A0B-4C03-B3FA-4999067F1E14}">
  <dimension ref="A1:G34"/>
  <sheetViews>
    <sheetView workbookViewId="0">
      <selection activeCell="D3" sqref="D3"/>
    </sheetView>
  </sheetViews>
  <sheetFormatPr baseColWidth="10" defaultColWidth="8.83203125" defaultRowHeight="14" x14ac:dyDescent="0.15"/>
  <cols>
    <col min="1" max="1" width="4.5" customWidth="1"/>
    <col min="2" max="2" width="37" customWidth="1"/>
    <col min="3" max="3" width="8.1640625" customWidth="1"/>
    <col min="4" max="4" width="26.6640625" customWidth="1"/>
    <col min="5" max="5" width="17.83203125" customWidth="1"/>
    <col min="6" max="6" width="11.83203125" customWidth="1"/>
    <col min="7" max="7" width="17.83203125" customWidth="1"/>
  </cols>
  <sheetData>
    <row r="1" spans="1:7" ht="17" x14ac:dyDescent="0.2">
      <c r="A1" s="151" t="s">
        <v>305</v>
      </c>
      <c r="B1" s="151"/>
      <c r="C1" s="151"/>
      <c r="D1" s="151"/>
      <c r="E1" s="151"/>
      <c r="F1" s="151"/>
      <c r="G1" s="151"/>
    </row>
    <row r="2" spans="1:7" x14ac:dyDescent="0.15">
      <c r="A2" s="152" t="s">
        <v>306</v>
      </c>
      <c r="B2" s="152"/>
      <c r="C2" s="152"/>
      <c r="D2" s="152"/>
      <c r="E2" s="152"/>
      <c r="F2" s="152"/>
      <c r="G2" s="152"/>
    </row>
    <row r="3" spans="1:7" x14ac:dyDescent="0.15">
      <c r="A3" s="1" t="s">
        <v>307</v>
      </c>
      <c r="B3" t="s">
        <v>575</v>
      </c>
      <c r="C3" s="1" t="s">
        <v>276</v>
      </c>
      <c r="D3" t="s">
        <v>277</v>
      </c>
    </row>
    <row r="4" spans="1:7" x14ac:dyDescent="0.15">
      <c r="A4" s="43" t="s">
        <v>308</v>
      </c>
      <c r="B4" s="42" t="s">
        <v>309</v>
      </c>
      <c r="C4" s="43" t="s">
        <v>282</v>
      </c>
      <c r="D4" s="42" t="s">
        <v>66</v>
      </c>
      <c r="E4" s="60" t="s">
        <v>310</v>
      </c>
      <c r="F4" s="60" t="s">
        <v>311</v>
      </c>
      <c r="G4" s="60" t="s">
        <v>312</v>
      </c>
    </row>
    <row r="5" spans="1:7" x14ac:dyDescent="0.15">
      <c r="A5" s="61" t="s">
        <v>313</v>
      </c>
      <c r="B5" s="50" t="s">
        <v>314</v>
      </c>
      <c r="C5" s="61" t="s">
        <v>291</v>
      </c>
      <c r="D5" s="51" t="s">
        <v>315</v>
      </c>
      <c r="E5" s="62">
        <f>TongHop!E14</f>
        <v>928347613.06615448</v>
      </c>
      <c r="F5" s="51"/>
      <c r="G5" s="62">
        <f>E5</f>
        <v>928347613.06615448</v>
      </c>
    </row>
    <row r="6" spans="1:7" x14ac:dyDescent="0.15">
      <c r="A6" s="61" t="s">
        <v>316</v>
      </c>
      <c r="B6" s="50" t="s">
        <v>317</v>
      </c>
      <c r="C6" s="61" t="s">
        <v>318</v>
      </c>
      <c r="D6" s="51" t="s">
        <v>319</v>
      </c>
      <c r="E6" s="62">
        <f>E5*E25</f>
        <v>17220848.222377166</v>
      </c>
      <c r="F6" s="51"/>
      <c r="G6" s="62">
        <f>E6</f>
        <v>17220848.222377166</v>
      </c>
    </row>
    <row r="7" spans="1:7" x14ac:dyDescent="0.15">
      <c r="A7" s="61" t="s">
        <v>320</v>
      </c>
      <c r="B7" s="50" t="s">
        <v>321</v>
      </c>
      <c r="C7" s="61" t="s">
        <v>322</v>
      </c>
      <c r="D7" s="51" t="s">
        <v>323</v>
      </c>
      <c r="E7" s="62">
        <f>SUM(E8:E11)</f>
        <v>41791853.115608022</v>
      </c>
      <c r="F7" s="62">
        <f>SUM(F8:F11)</f>
        <v>600000</v>
      </c>
      <c r="G7" s="62">
        <f>E7+F7</f>
        <v>42391853.115608022</v>
      </c>
    </row>
    <row r="8" spans="1:7" x14ac:dyDescent="0.15">
      <c r="A8" s="56">
        <v>1</v>
      </c>
      <c r="B8" t="s">
        <v>324</v>
      </c>
      <c r="C8" s="56" t="s">
        <v>325</v>
      </c>
      <c r="D8" t="s">
        <v>326</v>
      </c>
      <c r="E8" s="46">
        <f>MAX(E5*E26,10000000)</f>
        <v>33791853.115608022</v>
      </c>
      <c r="G8" s="46">
        <f>E8</f>
        <v>33791853.115608022</v>
      </c>
    </row>
    <row r="9" spans="1:7" x14ac:dyDescent="0.15">
      <c r="A9" s="56">
        <v>2</v>
      </c>
      <c r="B9" t="s">
        <v>327</v>
      </c>
      <c r="C9" s="56" t="s">
        <v>328</v>
      </c>
      <c r="D9" t="s">
        <v>329</v>
      </c>
      <c r="E9" s="46">
        <f>MAX(E5*E27,2000000)</f>
        <v>2000000</v>
      </c>
      <c r="G9" s="46">
        <f>E9</f>
        <v>2000000</v>
      </c>
    </row>
    <row r="10" spans="1:7" x14ac:dyDescent="0.15">
      <c r="A10" s="56">
        <v>3</v>
      </c>
      <c r="B10" t="s">
        <v>330</v>
      </c>
      <c r="C10" s="56" t="s">
        <v>331</v>
      </c>
      <c r="D10" t="s">
        <v>332</v>
      </c>
      <c r="E10" s="46">
        <f>MAX(E5*E28,3000000)</f>
        <v>3000000</v>
      </c>
      <c r="F10" s="46">
        <f>E10*E31</f>
        <v>300000</v>
      </c>
      <c r="G10" s="46">
        <f>E10+F10</f>
        <v>3300000</v>
      </c>
    </row>
    <row r="11" spans="1:7" x14ac:dyDescent="0.15">
      <c r="A11" s="56">
        <v>4</v>
      </c>
      <c r="B11" t="s">
        <v>333</v>
      </c>
      <c r="C11" s="56" t="s">
        <v>334</v>
      </c>
      <c r="D11" t="s">
        <v>332</v>
      </c>
      <c r="E11" s="46">
        <f>MAX(E5*E29,3000000)</f>
        <v>3000000</v>
      </c>
      <c r="F11" s="46">
        <f>E11*E31</f>
        <v>300000</v>
      </c>
      <c r="G11" s="46">
        <f>E11+F11</f>
        <v>3300000</v>
      </c>
    </row>
    <row r="12" spans="1:7" x14ac:dyDescent="0.15">
      <c r="A12" s="61" t="s">
        <v>335</v>
      </c>
      <c r="B12" s="50" t="s">
        <v>336</v>
      </c>
      <c r="C12" s="61" t="s">
        <v>337</v>
      </c>
      <c r="D12" s="51"/>
      <c r="E12" s="62">
        <f>SUM(E13:E16)</f>
        <v>5000000</v>
      </c>
      <c r="F12" s="62">
        <f>SUM(F13:F16)</f>
        <v>500000</v>
      </c>
      <c r="G12" s="62">
        <f>E12+F12</f>
        <v>5500000</v>
      </c>
    </row>
    <row r="13" spans="1:7" x14ac:dyDescent="0.15">
      <c r="A13" s="56">
        <v>1</v>
      </c>
      <c r="B13" t="s">
        <v>338</v>
      </c>
      <c r="C13" s="56" t="s">
        <v>339</v>
      </c>
      <c r="D13" t="s">
        <v>340</v>
      </c>
      <c r="E13" s="45">
        <v>0</v>
      </c>
      <c r="G13" s="46">
        <f>E13</f>
        <v>0</v>
      </c>
    </row>
    <row r="14" spans="1:7" x14ac:dyDescent="0.15">
      <c r="A14" s="56">
        <v>2</v>
      </c>
      <c r="B14" t="s">
        <v>341</v>
      </c>
      <c r="C14" s="56" t="s">
        <v>342</v>
      </c>
      <c r="D14" t="s">
        <v>340</v>
      </c>
      <c r="E14" s="45">
        <v>0</v>
      </c>
      <c r="G14" s="46">
        <f>E14</f>
        <v>0</v>
      </c>
    </row>
    <row r="15" spans="1:7" x14ac:dyDescent="0.15">
      <c r="A15" s="56">
        <v>3</v>
      </c>
      <c r="B15" t="s">
        <v>343</v>
      </c>
      <c r="C15" s="56" t="s">
        <v>344</v>
      </c>
      <c r="D15" t="s">
        <v>345</v>
      </c>
      <c r="E15" s="46">
        <f>MAX(E5*0.1%,2000000)</f>
        <v>2000000</v>
      </c>
      <c r="F15" s="46">
        <f>E15*E31</f>
        <v>200000</v>
      </c>
      <c r="G15" s="46">
        <f>E15+F15</f>
        <v>2200000</v>
      </c>
    </row>
    <row r="16" spans="1:7" x14ac:dyDescent="0.15">
      <c r="A16" s="56">
        <v>4</v>
      </c>
      <c r="B16" t="s">
        <v>346</v>
      </c>
      <c r="C16" s="56" t="s">
        <v>347</v>
      </c>
      <c r="D16" t="s">
        <v>348</v>
      </c>
      <c r="E16" s="46">
        <f>MAX(E5*0.1%,3000000)</f>
        <v>3000000</v>
      </c>
      <c r="F16" s="46">
        <f>E16*E31</f>
        <v>300000</v>
      </c>
      <c r="G16" s="46">
        <f>E16+F16</f>
        <v>3300000</v>
      </c>
    </row>
    <row r="17" spans="1:7" x14ac:dyDescent="0.15">
      <c r="A17" s="61" t="s">
        <v>349</v>
      </c>
      <c r="B17" s="50" t="s">
        <v>292</v>
      </c>
      <c r="C17" s="61" t="s">
        <v>350</v>
      </c>
      <c r="D17" s="51" t="s">
        <v>351</v>
      </c>
      <c r="E17" s="62">
        <f>(E5+E6+E7+E12)*E30</f>
        <v>99236031.440413967</v>
      </c>
      <c r="F17" s="51"/>
      <c r="G17" s="62">
        <f>E17</f>
        <v>99236031.440413967</v>
      </c>
    </row>
    <row r="18" spans="1:7" x14ac:dyDescent="0.15">
      <c r="A18" s="56"/>
    </row>
    <row r="19" spans="1:7" x14ac:dyDescent="0.15">
      <c r="A19" s="56"/>
    </row>
    <row r="20" spans="1:7" x14ac:dyDescent="0.15">
      <c r="A20" s="74"/>
      <c r="B20" s="75" t="s">
        <v>352</v>
      </c>
    </row>
    <row r="21" spans="1:7" ht="16" x14ac:dyDescent="0.2">
      <c r="A21" s="71"/>
      <c r="B21" s="70" t="s">
        <v>295</v>
      </c>
      <c r="C21" s="71" t="s">
        <v>284</v>
      </c>
      <c r="D21" s="69" t="s">
        <v>353</v>
      </c>
      <c r="E21" s="72">
        <f>E5+E6+E7+E12+E17</f>
        <v>1091596345.8445537</v>
      </c>
      <c r="F21" s="73">
        <f>F7+F12</f>
        <v>1100000</v>
      </c>
      <c r="G21" s="72">
        <f>E21+F21</f>
        <v>1092696345.8445537</v>
      </c>
    </row>
    <row r="23" spans="1:7" x14ac:dyDescent="0.15">
      <c r="A23" s="65" t="s">
        <v>354</v>
      </c>
      <c r="B23" s="3"/>
      <c r="C23" s="3"/>
      <c r="D23" s="3"/>
      <c r="E23" s="3"/>
    </row>
    <row r="24" spans="1:7" x14ac:dyDescent="0.15">
      <c r="A24" s="66" t="s">
        <v>279</v>
      </c>
      <c r="B24" s="1" t="s">
        <v>355</v>
      </c>
      <c r="C24" s="66" t="s">
        <v>282</v>
      </c>
      <c r="D24" s="1" t="s">
        <v>68</v>
      </c>
      <c r="E24" s="66" t="s">
        <v>356</v>
      </c>
    </row>
    <row r="25" spans="1:7" x14ac:dyDescent="0.15">
      <c r="A25" s="56">
        <v>1</v>
      </c>
      <c r="B25" t="s">
        <v>357</v>
      </c>
      <c r="C25" s="56" t="s">
        <v>318</v>
      </c>
      <c r="D25" t="s">
        <v>358</v>
      </c>
      <c r="E25" s="67">
        <v>1.8550000000000001E-2</v>
      </c>
    </row>
    <row r="26" spans="1:7" x14ac:dyDescent="0.15">
      <c r="A26" s="56">
        <v>2</v>
      </c>
      <c r="B26" t="s">
        <v>359</v>
      </c>
      <c r="C26" s="56" t="s">
        <v>325</v>
      </c>
      <c r="D26" t="s">
        <v>360</v>
      </c>
      <c r="E26" s="67">
        <v>3.6400000000000002E-2</v>
      </c>
    </row>
    <row r="27" spans="1:7" x14ac:dyDescent="0.15">
      <c r="A27" s="56">
        <v>3</v>
      </c>
      <c r="B27" t="s">
        <v>361</v>
      </c>
      <c r="C27" s="56" t="s">
        <v>328</v>
      </c>
      <c r="D27" t="s">
        <v>360</v>
      </c>
      <c r="E27" s="67">
        <v>8.4999999999999995E-4</v>
      </c>
    </row>
    <row r="28" spans="1:7" x14ac:dyDescent="0.15">
      <c r="A28" s="56">
        <v>4</v>
      </c>
      <c r="B28" t="s">
        <v>362</v>
      </c>
      <c r="C28" s="56" t="s">
        <v>331</v>
      </c>
      <c r="D28" t="s">
        <v>363</v>
      </c>
      <c r="E28" s="67">
        <v>2E-3</v>
      </c>
    </row>
    <row r="29" spans="1:7" x14ac:dyDescent="0.15">
      <c r="A29" s="56">
        <v>5</v>
      </c>
      <c r="B29" t="s">
        <v>364</v>
      </c>
      <c r="C29" s="56" t="s">
        <v>334</v>
      </c>
      <c r="D29" t="s">
        <v>363</v>
      </c>
      <c r="E29" s="67">
        <v>2E-3</v>
      </c>
    </row>
    <row r="30" spans="1:7" x14ac:dyDescent="0.15">
      <c r="A30" s="56">
        <v>6</v>
      </c>
      <c r="B30" t="s">
        <v>365</v>
      </c>
      <c r="C30" s="56" t="s">
        <v>350</v>
      </c>
      <c r="D30" t="s">
        <v>366</v>
      </c>
      <c r="E30" s="68">
        <v>0.1</v>
      </c>
    </row>
    <row r="31" spans="1:7" x14ac:dyDescent="0.15">
      <c r="A31" s="56">
        <v>7</v>
      </c>
      <c r="B31" t="s">
        <v>367</v>
      </c>
      <c r="C31" s="56" t="s">
        <v>311</v>
      </c>
      <c r="D31" t="s">
        <v>368</v>
      </c>
      <c r="E31" s="68">
        <v>0.1</v>
      </c>
    </row>
    <row r="33" spans="1:2" x14ac:dyDescent="0.15">
      <c r="A33" s="76" t="s">
        <v>369</v>
      </c>
      <c r="B33" s="77" t="s">
        <v>370</v>
      </c>
    </row>
    <row r="34" spans="1:2" x14ac:dyDescent="0.15">
      <c r="A34" t="s">
        <v>369</v>
      </c>
      <c r="B34" s="41" t="s">
        <v>371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1BF1-0713-45E7-BD50-3C4E7110620C}">
  <dimension ref="A1:F7"/>
  <sheetViews>
    <sheetView zoomScale="85" workbookViewId="0">
      <pane ySplit="2" topLeftCell="A3" activePane="bottomLeft" state="frozen"/>
      <selection pane="bottomLeft" activeCell="D31" sqref="D31"/>
    </sheetView>
  </sheetViews>
  <sheetFormatPr baseColWidth="10" defaultColWidth="8.83203125" defaultRowHeight="14" x14ac:dyDescent="0.15"/>
  <cols>
    <col min="1" max="1" width="5.83203125" customWidth="1"/>
    <col min="2" max="2" width="31.33203125" customWidth="1"/>
    <col min="3" max="3" width="112.6640625" customWidth="1"/>
    <col min="4" max="4" width="19.1640625" customWidth="1"/>
    <col min="5" max="5" width="11.83203125" customWidth="1"/>
    <col min="6" max="6" width="22.1640625" customWidth="1"/>
  </cols>
  <sheetData>
    <row r="1" spans="1:6" ht="16" x14ac:dyDescent="0.2">
      <c r="A1" s="12" t="s">
        <v>372</v>
      </c>
      <c r="B1" s="3"/>
      <c r="C1" s="3"/>
      <c r="D1" s="3"/>
      <c r="E1" s="3"/>
      <c r="F1" s="3"/>
    </row>
    <row r="2" spans="1:6" x14ac:dyDescent="0.15">
      <c r="A2" s="19" t="s">
        <v>279</v>
      </c>
      <c r="B2" s="19" t="s">
        <v>373</v>
      </c>
      <c r="C2" s="19" t="s">
        <v>374</v>
      </c>
      <c r="D2" s="19" t="s">
        <v>375</v>
      </c>
      <c r="E2" s="19" t="s">
        <v>376</v>
      </c>
      <c r="F2" s="19" t="s">
        <v>377</v>
      </c>
    </row>
    <row r="3" spans="1:6" x14ac:dyDescent="0.15">
      <c r="A3" s="17">
        <v>1</v>
      </c>
      <c r="B3" s="16" t="s">
        <v>576</v>
      </c>
      <c r="C3" s="16" t="s">
        <v>580</v>
      </c>
      <c r="D3" s="26" t="s">
        <v>378</v>
      </c>
      <c r="E3" s="17">
        <v>3</v>
      </c>
      <c r="F3" s="16"/>
    </row>
    <row r="4" spans="1:6" x14ac:dyDescent="0.15">
      <c r="A4" s="17">
        <v>2</v>
      </c>
      <c r="B4" s="16" t="s">
        <v>577</v>
      </c>
      <c r="C4" s="16" t="s">
        <v>581</v>
      </c>
      <c r="D4" s="26" t="s">
        <v>378</v>
      </c>
      <c r="E4" s="17">
        <v>3</v>
      </c>
      <c r="F4" s="16"/>
    </row>
    <row r="5" spans="1:6" x14ac:dyDescent="0.15">
      <c r="A5" s="17">
        <v>3</v>
      </c>
      <c r="B5" s="16" t="s">
        <v>578</v>
      </c>
      <c r="C5" s="16" t="s">
        <v>582</v>
      </c>
      <c r="D5" s="26" t="s">
        <v>396</v>
      </c>
      <c r="E5" s="17">
        <v>2</v>
      </c>
      <c r="F5" s="16"/>
    </row>
    <row r="6" spans="1:6" x14ac:dyDescent="0.15">
      <c r="A6" s="17">
        <v>4</v>
      </c>
      <c r="B6" s="16" t="s">
        <v>579</v>
      </c>
      <c r="C6" s="16" t="s">
        <v>583</v>
      </c>
      <c r="D6" s="26" t="s">
        <v>379</v>
      </c>
      <c r="E6" s="17">
        <v>1</v>
      </c>
      <c r="F6" s="16"/>
    </row>
    <row r="7" spans="1:6" x14ac:dyDescent="0.15">
      <c r="A7" s="25" t="s">
        <v>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DFA0-718B-4E81-ABC5-CFCE9A12D700}">
  <dimension ref="A1:E33"/>
  <sheetViews>
    <sheetView workbookViewId="0">
      <pane ySplit="2" topLeftCell="A7" activePane="bottomLeft" state="frozen"/>
      <selection pane="bottomLeft" activeCell="L28" sqref="L28"/>
    </sheetView>
  </sheetViews>
  <sheetFormatPr baseColWidth="10" defaultColWidth="8.83203125" defaultRowHeight="14" x14ac:dyDescent="0.15"/>
  <cols>
    <col min="1" max="1" width="5.83203125" customWidth="1"/>
    <col min="2" max="2" width="41.5" customWidth="1"/>
    <col min="3" max="3" width="17.83203125" customWidth="1"/>
    <col min="4" max="4" width="14.83203125" customWidth="1"/>
    <col min="5" max="5" width="22.1640625" customWidth="1"/>
  </cols>
  <sheetData>
    <row r="1" spans="1:5" ht="16" x14ac:dyDescent="0.2">
      <c r="A1" s="12" t="s">
        <v>381</v>
      </c>
      <c r="B1" s="3"/>
      <c r="C1" s="3"/>
      <c r="D1" s="3"/>
      <c r="E1" s="3"/>
    </row>
    <row r="2" spans="1:5" x14ac:dyDescent="0.15">
      <c r="A2" s="19" t="s">
        <v>279</v>
      </c>
      <c r="B2" s="19" t="s">
        <v>382</v>
      </c>
      <c r="C2" s="19" t="s">
        <v>383</v>
      </c>
      <c r="D2" s="19" t="s">
        <v>384</v>
      </c>
      <c r="E2" s="19" t="s">
        <v>377</v>
      </c>
    </row>
    <row r="3" spans="1:5" x14ac:dyDescent="0.15">
      <c r="A3" s="134">
        <v>1</v>
      </c>
      <c r="B3" s="135" t="s">
        <v>584</v>
      </c>
      <c r="C3" s="134" t="s">
        <v>387</v>
      </c>
      <c r="D3" s="134">
        <v>5</v>
      </c>
      <c r="E3" s="134" t="s">
        <v>386</v>
      </c>
    </row>
    <row r="4" spans="1:5" x14ac:dyDescent="0.15">
      <c r="A4" s="134">
        <v>2</v>
      </c>
      <c r="B4" s="135" t="s">
        <v>585</v>
      </c>
      <c r="C4" s="134" t="s">
        <v>387</v>
      </c>
      <c r="D4" s="134">
        <v>6</v>
      </c>
      <c r="E4" s="134" t="s">
        <v>386</v>
      </c>
    </row>
    <row r="5" spans="1:5" x14ac:dyDescent="0.15">
      <c r="A5" s="134">
        <v>3</v>
      </c>
      <c r="B5" s="135" t="s">
        <v>586</v>
      </c>
      <c r="C5" s="134" t="s">
        <v>387</v>
      </c>
      <c r="D5" s="134">
        <v>5</v>
      </c>
      <c r="E5" s="134" t="s">
        <v>386</v>
      </c>
    </row>
    <row r="6" spans="1:5" x14ac:dyDescent="0.15">
      <c r="A6" s="134">
        <v>4</v>
      </c>
      <c r="B6" s="135" t="s">
        <v>587</v>
      </c>
      <c r="C6" s="134" t="s">
        <v>388</v>
      </c>
      <c r="D6" s="134">
        <v>8</v>
      </c>
      <c r="E6" s="134" t="s">
        <v>386</v>
      </c>
    </row>
    <row r="7" spans="1:5" ht="28" x14ac:dyDescent="0.15">
      <c r="A7" s="134">
        <v>5</v>
      </c>
      <c r="B7" s="135" t="s">
        <v>588</v>
      </c>
      <c r="C7" s="134" t="s">
        <v>387</v>
      </c>
      <c r="D7" s="134">
        <v>6</v>
      </c>
      <c r="E7" s="134" t="s">
        <v>386</v>
      </c>
    </row>
    <row r="8" spans="1:5" ht="28" x14ac:dyDescent="0.15">
      <c r="A8" s="134">
        <v>6</v>
      </c>
      <c r="B8" s="135" t="s">
        <v>589</v>
      </c>
      <c r="C8" s="134" t="s">
        <v>387</v>
      </c>
      <c r="D8" s="134">
        <v>6</v>
      </c>
      <c r="E8" s="134" t="s">
        <v>386</v>
      </c>
    </row>
    <row r="9" spans="1:5" ht="28" x14ac:dyDescent="0.15">
      <c r="A9" s="134">
        <v>7</v>
      </c>
      <c r="B9" s="135" t="s">
        <v>590</v>
      </c>
      <c r="C9" s="134" t="s">
        <v>388</v>
      </c>
      <c r="D9" s="134">
        <v>8</v>
      </c>
      <c r="E9" s="134" t="s">
        <v>386</v>
      </c>
    </row>
    <row r="10" spans="1:5" ht="28" x14ac:dyDescent="0.15">
      <c r="A10" s="134">
        <v>8</v>
      </c>
      <c r="B10" s="135" t="s">
        <v>591</v>
      </c>
      <c r="C10" s="134" t="s">
        <v>387</v>
      </c>
      <c r="D10" s="134">
        <v>5</v>
      </c>
      <c r="E10" s="134" t="s">
        <v>386</v>
      </c>
    </row>
    <row r="11" spans="1:5" ht="28" x14ac:dyDescent="0.15">
      <c r="A11" s="134">
        <v>9</v>
      </c>
      <c r="B11" s="135" t="s">
        <v>592</v>
      </c>
      <c r="C11" s="134" t="s">
        <v>387</v>
      </c>
      <c r="D11" s="134">
        <v>5</v>
      </c>
      <c r="E11" s="134" t="s">
        <v>386</v>
      </c>
    </row>
    <row r="12" spans="1:5" ht="28" x14ac:dyDescent="0.15">
      <c r="A12" s="134">
        <v>10</v>
      </c>
      <c r="B12" s="135" t="s">
        <v>593</v>
      </c>
      <c r="C12" s="134" t="s">
        <v>387</v>
      </c>
      <c r="D12" s="134">
        <v>5</v>
      </c>
      <c r="E12" s="134" t="s">
        <v>386</v>
      </c>
    </row>
    <row r="13" spans="1:5" ht="28" x14ac:dyDescent="0.15">
      <c r="A13" s="134">
        <v>11</v>
      </c>
      <c r="B13" s="135" t="s">
        <v>594</v>
      </c>
      <c r="C13" s="134" t="s">
        <v>388</v>
      </c>
      <c r="D13" s="134">
        <v>8</v>
      </c>
      <c r="E13" s="134" t="s">
        <v>386</v>
      </c>
    </row>
    <row r="14" spans="1:5" ht="28" x14ac:dyDescent="0.15">
      <c r="A14" s="134">
        <v>12</v>
      </c>
      <c r="B14" s="135" t="s">
        <v>595</v>
      </c>
      <c r="C14" s="134" t="s">
        <v>387</v>
      </c>
      <c r="D14" s="134">
        <v>5</v>
      </c>
      <c r="E14" s="134" t="s">
        <v>386</v>
      </c>
    </row>
    <row r="15" spans="1:5" ht="28" x14ac:dyDescent="0.15">
      <c r="A15" s="134">
        <v>13</v>
      </c>
      <c r="B15" s="135" t="s">
        <v>596</v>
      </c>
      <c r="C15" s="134" t="s">
        <v>387</v>
      </c>
      <c r="D15" s="134">
        <v>6</v>
      </c>
      <c r="E15" s="134" t="s">
        <v>386</v>
      </c>
    </row>
    <row r="16" spans="1:5" ht="28" x14ac:dyDescent="0.15">
      <c r="A16" s="134">
        <v>14</v>
      </c>
      <c r="B16" s="135" t="s">
        <v>597</v>
      </c>
      <c r="C16" s="134" t="s">
        <v>387</v>
      </c>
      <c r="D16" s="134">
        <v>5</v>
      </c>
      <c r="E16" s="134" t="s">
        <v>386</v>
      </c>
    </row>
    <row r="17" spans="1:5" ht="28" x14ac:dyDescent="0.15">
      <c r="A17" s="134">
        <v>15</v>
      </c>
      <c r="B17" s="135" t="s">
        <v>598</v>
      </c>
      <c r="C17" s="134" t="s">
        <v>388</v>
      </c>
      <c r="D17" s="134">
        <v>9</v>
      </c>
      <c r="E17" s="134" t="s">
        <v>386</v>
      </c>
    </row>
    <row r="18" spans="1:5" ht="28" x14ac:dyDescent="0.15">
      <c r="A18" s="134">
        <v>16</v>
      </c>
      <c r="B18" s="135" t="s">
        <v>599</v>
      </c>
      <c r="C18" s="134" t="s">
        <v>387</v>
      </c>
      <c r="D18" s="134">
        <v>5</v>
      </c>
      <c r="E18" s="134" t="s">
        <v>389</v>
      </c>
    </row>
    <row r="19" spans="1:5" x14ac:dyDescent="0.15">
      <c r="A19" s="134">
        <v>17</v>
      </c>
      <c r="B19" s="135" t="s">
        <v>600</v>
      </c>
      <c r="C19" s="134" t="s">
        <v>385</v>
      </c>
      <c r="D19" s="134">
        <v>3</v>
      </c>
      <c r="E19" s="134" t="s">
        <v>389</v>
      </c>
    </row>
    <row r="20" spans="1:5" ht="28" x14ac:dyDescent="0.15">
      <c r="A20" s="134">
        <v>18</v>
      </c>
      <c r="B20" s="135" t="s">
        <v>601</v>
      </c>
      <c r="C20" s="134" t="s">
        <v>387</v>
      </c>
      <c r="D20" s="134">
        <v>4</v>
      </c>
      <c r="E20" s="134" t="s">
        <v>389</v>
      </c>
    </row>
    <row r="21" spans="1:5" ht="28" x14ac:dyDescent="0.15">
      <c r="A21" s="134">
        <v>19</v>
      </c>
      <c r="B21" s="135" t="s">
        <v>602</v>
      </c>
      <c r="C21" s="134" t="s">
        <v>388</v>
      </c>
      <c r="D21" s="134">
        <v>8</v>
      </c>
      <c r="E21" s="134" t="s">
        <v>389</v>
      </c>
    </row>
    <row r="22" spans="1:5" ht="28" x14ac:dyDescent="0.15">
      <c r="A22" s="134">
        <v>20</v>
      </c>
      <c r="B22" s="135" t="s">
        <v>603</v>
      </c>
      <c r="C22" s="134" t="s">
        <v>387</v>
      </c>
      <c r="D22" s="134">
        <v>5</v>
      </c>
      <c r="E22" s="134" t="s">
        <v>389</v>
      </c>
    </row>
    <row r="23" spans="1:5" ht="28" x14ac:dyDescent="0.15">
      <c r="A23" s="134">
        <v>21</v>
      </c>
      <c r="B23" s="135" t="s">
        <v>604</v>
      </c>
      <c r="C23" s="134" t="s">
        <v>387</v>
      </c>
      <c r="D23" s="134">
        <v>6</v>
      </c>
      <c r="E23" s="134" t="s">
        <v>389</v>
      </c>
    </row>
    <row r="24" spans="1:5" ht="28" x14ac:dyDescent="0.15">
      <c r="A24" s="134">
        <v>22</v>
      </c>
      <c r="B24" s="135" t="s">
        <v>605</v>
      </c>
      <c r="C24" s="134" t="s">
        <v>387</v>
      </c>
      <c r="D24" s="134">
        <v>5</v>
      </c>
      <c r="E24" s="134" t="s">
        <v>389</v>
      </c>
    </row>
    <row r="25" spans="1:5" x14ac:dyDescent="0.15">
      <c r="A25" s="134">
        <v>23</v>
      </c>
      <c r="B25" s="135" t="s">
        <v>606</v>
      </c>
      <c r="C25" s="134" t="s">
        <v>387</v>
      </c>
      <c r="D25" s="134">
        <v>4</v>
      </c>
      <c r="E25" s="134" t="s">
        <v>389</v>
      </c>
    </row>
    <row r="26" spans="1:5" x14ac:dyDescent="0.15">
      <c r="A26" s="134">
        <v>24</v>
      </c>
      <c r="B26" s="135" t="s">
        <v>607</v>
      </c>
      <c r="C26" s="134" t="s">
        <v>388</v>
      </c>
      <c r="D26" s="134">
        <v>10</v>
      </c>
      <c r="E26" s="134" t="s">
        <v>389</v>
      </c>
    </row>
    <row r="27" spans="1:5" ht="28" x14ac:dyDescent="0.15">
      <c r="A27" s="134">
        <v>25</v>
      </c>
      <c r="B27" s="135" t="s">
        <v>608</v>
      </c>
      <c r="C27" s="134" t="s">
        <v>388</v>
      </c>
      <c r="D27" s="134">
        <v>9</v>
      </c>
      <c r="E27" s="134" t="s">
        <v>389</v>
      </c>
    </row>
    <row r="28" spans="1:5" ht="28" x14ac:dyDescent="0.15">
      <c r="A28" s="134">
        <v>26</v>
      </c>
      <c r="B28" s="135" t="s">
        <v>609</v>
      </c>
      <c r="C28" s="134" t="s">
        <v>387</v>
      </c>
      <c r="D28" s="134">
        <v>5</v>
      </c>
      <c r="E28" s="134" t="s">
        <v>389</v>
      </c>
    </row>
    <row r="29" spans="1:5" ht="28" x14ac:dyDescent="0.15">
      <c r="A29" s="134">
        <v>27</v>
      </c>
      <c r="B29" s="135" t="s">
        <v>610</v>
      </c>
      <c r="C29" s="134" t="s">
        <v>385</v>
      </c>
      <c r="D29" s="134">
        <v>3</v>
      </c>
      <c r="E29" s="134" t="s">
        <v>389</v>
      </c>
    </row>
    <row r="30" spans="1:5" ht="28" x14ac:dyDescent="0.15">
      <c r="A30" s="134">
        <v>28</v>
      </c>
      <c r="B30" s="135" t="s">
        <v>611</v>
      </c>
      <c r="C30" s="134" t="s">
        <v>387</v>
      </c>
      <c r="D30" s="134">
        <v>6</v>
      </c>
      <c r="E30" s="134" t="s">
        <v>389</v>
      </c>
    </row>
    <row r="31" spans="1:5" x14ac:dyDescent="0.15">
      <c r="A31" s="134">
        <v>29</v>
      </c>
      <c r="B31" s="135" t="s">
        <v>612</v>
      </c>
      <c r="C31" s="134" t="s">
        <v>388</v>
      </c>
      <c r="D31" s="134">
        <v>9</v>
      </c>
      <c r="E31" s="134" t="s">
        <v>389</v>
      </c>
    </row>
    <row r="32" spans="1:5" ht="28" x14ac:dyDescent="0.15">
      <c r="A32" s="134">
        <v>30</v>
      </c>
      <c r="B32" s="135" t="s">
        <v>613</v>
      </c>
      <c r="C32" s="134" t="s">
        <v>388</v>
      </c>
      <c r="D32" s="134">
        <v>8</v>
      </c>
      <c r="E32" s="134" t="s">
        <v>389</v>
      </c>
    </row>
    <row r="33" spans="1:1" x14ac:dyDescent="0.15">
      <c r="A33" t="s">
        <v>390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E75D-ED3F-4204-B316-C5A03074A804}">
  <dimension ref="A1:G62"/>
  <sheetViews>
    <sheetView workbookViewId="0">
      <pane ySplit="2" topLeftCell="A23" activePane="bottomLeft" state="frozen"/>
      <selection pane="bottomLeft" activeCell="H46" sqref="H46"/>
    </sheetView>
  </sheetViews>
  <sheetFormatPr baseColWidth="10" defaultColWidth="8.83203125" defaultRowHeight="14" x14ac:dyDescent="0.15"/>
  <cols>
    <col min="1" max="1" width="5.83203125" customWidth="1"/>
    <col min="2" max="2" width="32.5" customWidth="1"/>
    <col min="3" max="3" width="19.1640625" customWidth="1"/>
    <col min="4" max="5" width="14.83203125" customWidth="1"/>
    <col min="6" max="6" width="20.83203125" customWidth="1"/>
    <col min="7" max="7" width="17.83203125" customWidth="1"/>
  </cols>
  <sheetData>
    <row r="1" spans="1:7" ht="16" x14ac:dyDescent="0.2">
      <c r="A1" s="12" t="s">
        <v>391</v>
      </c>
      <c r="B1" s="3"/>
      <c r="C1" s="3"/>
      <c r="D1" s="3"/>
      <c r="E1" s="3"/>
      <c r="F1" s="3"/>
      <c r="G1" s="3"/>
    </row>
    <row r="2" spans="1:7" x14ac:dyDescent="0.15">
      <c r="A2" s="136" t="s">
        <v>279</v>
      </c>
      <c r="B2" s="136" t="s">
        <v>392</v>
      </c>
      <c r="C2" s="136" t="s">
        <v>373</v>
      </c>
      <c r="D2" s="136" t="s">
        <v>384</v>
      </c>
      <c r="E2" s="136" t="s">
        <v>393</v>
      </c>
      <c r="F2" s="136" t="s">
        <v>394</v>
      </c>
      <c r="G2" s="136" t="s">
        <v>377</v>
      </c>
    </row>
    <row r="3" spans="1:7" ht="25" customHeight="1" x14ac:dyDescent="0.15">
      <c r="A3" s="137">
        <v>1</v>
      </c>
      <c r="B3" s="138" t="s">
        <v>584</v>
      </c>
      <c r="C3" s="138" t="s">
        <v>576</v>
      </c>
      <c r="D3" s="137" t="s">
        <v>396</v>
      </c>
      <c r="E3" s="137" t="s">
        <v>387</v>
      </c>
      <c r="F3" s="137" t="s">
        <v>396</v>
      </c>
      <c r="G3" s="137" t="s">
        <v>395</v>
      </c>
    </row>
    <row r="4" spans="1:7" ht="25" customHeight="1" x14ac:dyDescent="0.15">
      <c r="A4" s="137">
        <v>2</v>
      </c>
      <c r="B4" s="138" t="s">
        <v>585</v>
      </c>
      <c r="C4" s="138" t="s">
        <v>576</v>
      </c>
      <c r="D4" s="137" t="s">
        <v>396</v>
      </c>
      <c r="E4" s="137" t="s">
        <v>387</v>
      </c>
      <c r="F4" s="137" t="s">
        <v>396</v>
      </c>
      <c r="G4" s="137" t="s">
        <v>397</v>
      </c>
    </row>
    <row r="5" spans="1:7" ht="25" customHeight="1" x14ac:dyDescent="0.15">
      <c r="A5" s="137">
        <v>3</v>
      </c>
      <c r="B5" s="138" t="s">
        <v>586</v>
      </c>
      <c r="C5" s="138" t="s">
        <v>576</v>
      </c>
      <c r="D5" s="137" t="s">
        <v>396</v>
      </c>
      <c r="E5" s="137" t="s">
        <v>387</v>
      </c>
      <c r="F5" s="137" t="s">
        <v>396</v>
      </c>
      <c r="G5" s="137" t="s">
        <v>398</v>
      </c>
    </row>
    <row r="6" spans="1:7" ht="25" customHeight="1" x14ac:dyDescent="0.15">
      <c r="A6" s="137">
        <v>4</v>
      </c>
      <c r="B6" s="138" t="s">
        <v>587</v>
      </c>
      <c r="C6" s="138" t="s">
        <v>576</v>
      </c>
      <c r="D6" s="137" t="s">
        <v>378</v>
      </c>
      <c r="E6" s="137" t="s">
        <v>388</v>
      </c>
      <c r="F6" s="137" t="s">
        <v>378</v>
      </c>
      <c r="G6" s="137" t="s">
        <v>399</v>
      </c>
    </row>
    <row r="7" spans="1:7" ht="25" customHeight="1" x14ac:dyDescent="0.15">
      <c r="A7" s="137">
        <v>5</v>
      </c>
      <c r="B7" s="138" t="s">
        <v>614</v>
      </c>
      <c r="C7" s="138" t="s">
        <v>576</v>
      </c>
      <c r="D7" s="137" t="s">
        <v>396</v>
      </c>
      <c r="E7" s="137" t="s">
        <v>387</v>
      </c>
      <c r="F7" s="137" t="s">
        <v>396</v>
      </c>
      <c r="G7" s="137" t="s">
        <v>400</v>
      </c>
    </row>
    <row r="8" spans="1:7" ht="25" customHeight="1" x14ac:dyDescent="0.15">
      <c r="A8" s="137">
        <v>6</v>
      </c>
      <c r="B8" s="138" t="s">
        <v>589</v>
      </c>
      <c r="C8" s="138" t="s">
        <v>576</v>
      </c>
      <c r="D8" s="137" t="s">
        <v>396</v>
      </c>
      <c r="E8" s="137" t="s">
        <v>387</v>
      </c>
      <c r="F8" s="137" t="s">
        <v>396</v>
      </c>
      <c r="G8" s="137" t="s">
        <v>401</v>
      </c>
    </row>
    <row r="9" spans="1:7" ht="25" customHeight="1" x14ac:dyDescent="0.15">
      <c r="A9" s="137">
        <v>7</v>
      </c>
      <c r="B9" s="138" t="s">
        <v>590</v>
      </c>
      <c r="C9" s="138" t="s">
        <v>577</v>
      </c>
      <c r="D9" s="137" t="s">
        <v>378</v>
      </c>
      <c r="E9" s="137" t="s">
        <v>388</v>
      </c>
      <c r="F9" s="137" t="s">
        <v>378</v>
      </c>
      <c r="G9" s="137" t="s">
        <v>402</v>
      </c>
    </row>
    <row r="10" spans="1:7" ht="25" customHeight="1" x14ac:dyDescent="0.15">
      <c r="A10" s="137">
        <v>8</v>
      </c>
      <c r="B10" s="138" t="s">
        <v>591</v>
      </c>
      <c r="C10" s="138" t="s">
        <v>576</v>
      </c>
      <c r="D10" s="137" t="s">
        <v>396</v>
      </c>
      <c r="E10" s="137" t="s">
        <v>387</v>
      </c>
      <c r="F10" s="137" t="s">
        <v>396</v>
      </c>
      <c r="G10" s="137" t="s">
        <v>403</v>
      </c>
    </row>
    <row r="11" spans="1:7" ht="25" customHeight="1" x14ac:dyDescent="0.15">
      <c r="A11" s="137">
        <v>9</v>
      </c>
      <c r="B11" s="138" t="s">
        <v>592</v>
      </c>
      <c r="C11" s="138" t="s">
        <v>576</v>
      </c>
      <c r="D11" s="137" t="s">
        <v>396</v>
      </c>
      <c r="E11" s="137" t="s">
        <v>387</v>
      </c>
      <c r="F11" s="137" t="s">
        <v>396</v>
      </c>
      <c r="G11" s="137" t="s">
        <v>404</v>
      </c>
    </row>
    <row r="12" spans="1:7" ht="25" customHeight="1" x14ac:dyDescent="0.15">
      <c r="A12" s="137">
        <v>10</v>
      </c>
      <c r="B12" s="138" t="s">
        <v>593</v>
      </c>
      <c r="C12" s="138" t="s">
        <v>576</v>
      </c>
      <c r="D12" s="137" t="s">
        <v>396</v>
      </c>
      <c r="E12" s="137" t="s">
        <v>387</v>
      </c>
      <c r="F12" s="137" t="s">
        <v>396</v>
      </c>
      <c r="G12" s="137" t="s">
        <v>405</v>
      </c>
    </row>
    <row r="13" spans="1:7" ht="25" customHeight="1" x14ac:dyDescent="0.15">
      <c r="A13" s="137">
        <v>11</v>
      </c>
      <c r="B13" s="138" t="s">
        <v>594</v>
      </c>
      <c r="C13" s="138" t="s">
        <v>577</v>
      </c>
      <c r="D13" s="137" t="s">
        <v>378</v>
      </c>
      <c r="E13" s="137" t="s">
        <v>388</v>
      </c>
      <c r="F13" s="137" t="s">
        <v>378</v>
      </c>
      <c r="G13" s="137" t="s">
        <v>406</v>
      </c>
    </row>
    <row r="14" spans="1:7" ht="25" customHeight="1" x14ac:dyDescent="0.15">
      <c r="A14" s="137">
        <v>12</v>
      </c>
      <c r="B14" s="138" t="s">
        <v>595</v>
      </c>
      <c r="C14" s="138" t="s">
        <v>576</v>
      </c>
      <c r="D14" s="137" t="s">
        <v>396</v>
      </c>
      <c r="E14" s="137" t="s">
        <v>387</v>
      </c>
      <c r="F14" s="137" t="s">
        <v>396</v>
      </c>
      <c r="G14" s="137" t="s">
        <v>407</v>
      </c>
    </row>
    <row r="15" spans="1:7" ht="25" customHeight="1" x14ac:dyDescent="0.15">
      <c r="A15" s="137">
        <v>13</v>
      </c>
      <c r="B15" s="138" t="s">
        <v>596</v>
      </c>
      <c r="C15" s="138" t="s">
        <v>615</v>
      </c>
      <c r="D15" s="137" t="s">
        <v>396</v>
      </c>
      <c r="E15" s="137" t="s">
        <v>387</v>
      </c>
      <c r="F15" s="137" t="s">
        <v>396</v>
      </c>
      <c r="G15" s="137" t="s">
        <v>408</v>
      </c>
    </row>
    <row r="16" spans="1:7" ht="25" customHeight="1" x14ac:dyDescent="0.15">
      <c r="A16" s="137">
        <v>14</v>
      </c>
      <c r="B16" s="138" t="s">
        <v>597</v>
      </c>
      <c r="C16" s="138" t="s">
        <v>576</v>
      </c>
      <c r="D16" s="137" t="s">
        <v>396</v>
      </c>
      <c r="E16" s="137" t="s">
        <v>387</v>
      </c>
      <c r="F16" s="137" t="s">
        <v>396</v>
      </c>
      <c r="G16" s="137" t="s">
        <v>409</v>
      </c>
    </row>
    <row r="17" spans="1:7" ht="25" customHeight="1" x14ac:dyDescent="0.15">
      <c r="A17" s="137">
        <v>15</v>
      </c>
      <c r="B17" s="138" t="s">
        <v>598</v>
      </c>
      <c r="C17" s="138" t="s">
        <v>576</v>
      </c>
      <c r="D17" s="137" t="s">
        <v>378</v>
      </c>
      <c r="E17" s="137" t="s">
        <v>388</v>
      </c>
      <c r="F17" s="137" t="s">
        <v>378</v>
      </c>
      <c r="G17" s="137" t="s">
        <v>410</v>
      </c>
    </row>
    <row r="18" spans="1:7" ht="25" customHeight="1" x14ac:dyDescent="0.15">
      <c r="A18" s="137">
        <v>16</v>
      </c>
      <c r="B18" s="138" t="s">
        <v>599</v>
      </c>
      <c r="C18" s="138" t="s">
        <v>616</v>
      </c>
      <c r="D18" s="137" t="s">
        <v>396</v>
      </c>
      <c r="E18" s="137" t="s">
        <v>387</v>
      </c>
      <c r="F18" s="137" t="s">
        <v>396</v>
      </c>
      <c r="G18" s="137" t="s">
        <v>411</v>
      </c>
    </row>
    <row r="19" spans="1:7" ht="25" customHeight="1" x14ac:dyDescent="0.15">
      <c r="A19" s="137">
        <v>17</v>
      </c>
      <c r="B19" s="138" t="s">
        <v>600</v>
      </c>
      <c r="C19" s="138" t="s">
        <v>616</v>
      </c>
      <c r="D19" s="137" t="s">
        <v>379</v>
      </c>
      <c r="E19" s="137" t="s">
        <v>385</v>
      </c>
      <c r="F19" s="137" t="s">
        <v>379</v>
      </c>
      <c r="G19" s="137" t="s">
        <v>412</v>
      </c>
    </row>
    <row r="20" spans="1:7" ht="25" customHeight="1" x14ac:dyDescent="0.15">
      <c r="A20" s="137">
        <v>18</v>
      </c>
      <c r="B20" s="138" t="s">
        <v>601</v>
      </c>
      <c r="C20" s="138" t="s">
        <v>617</v>
      </c>
      <c r="D20" s="137" t="s">
        <v>396</v>
      </c>
      <c r="E20" s="137" t="s">
        <v>387</v>
      </c>
      <c r="F20" s="137" t="s">
        <v>396</v>
      </c>
      <c r="G20" s="137" t="s">
        <v>413</v>
      </c>
    </row>
    <row r="21" spans="1:7" ht="25" customHeight="1" x14ac:dyDescent="0.15">
      <c r="A21" s="137">
        <v>19</v>
      </c>
      <c r="B21" s="138" t="s">
        <v>602</v>
      </c>
      <c r="C21" s="138" t="s">
        <v>578</v>
      </c>
      <c r="D21" s="137" t="s">
        <v>378</v>
      </c>
      <c r="E21" s="137" t="s">
        <v>388</v>
      </c>
      <c r="F21" s="137" t="s">
        <v>378</v>
      </c>
      <c r="G21" s="137" t="s">
        <v>414</v>
      </c>
    </row>
    <row r="22" spans="1:7" ht="25" customHeight="1" x14ac:dyDescent="0.15">
      <c r="A22" s="137">
        <v>20</v>
      </c>
      <c r="B22" s="138" t="s">
        <v>603</v>
      </c>
      <c r="C22" s="138" t="s">
        <v>578</v>
      </c>
      <c r="D22" s="137" t="s">
        <v>396</v>
      </c>
      <c r="E22" s="137" t="s">
        <v>387</v>
      </c>
      <c r="F22" s="137" t="s">
        <v>396</v>
      </c>
      <c r="G22" s="137" t="s">
        <v>415</v>
      </c>
    </row>
    <row r="23" spans="1:7" ht="25" customHeight="1" x14ac:dyDescent="0.15">
      <c r="A23" s="137">
        <v>21</v>
      </c>
      <c r="B23" s="138" t="s">
        <v>604</v>
      </c>
      <c r="C23" s="138" t="s">
        <v>578</v>
      </c>
      <c r="D23" s="137" t="s">
        <v>396</v>
      </c>
      <c r="E23" s="137" t="s">
        <v>387</v>
      </c>
      <c r="F23" s="137" t="s">
        <v>396</v>
      </c>
      <c r="G23" s="137" t="s">
        <v>416</v>
      </c>
    </row>
    <row r="24" spans="1:7" ht="25" customHeight="1" x14ac:dyDescent="0.15">
      <c r="A24" s="137">
        <v>22</v>
      </c>
      <c r="B24" s="138" t="s">
        <v>605</v>
      </c>
      <c r="C24" s="138" t="s">
        <v>578</v>
      </c>
      <c r="D24" s="137" t="s">
        <v>396</v>
      </c>
      <c r="E24" s="137" t="s">
        <v>387</v>
      </c>
      <c r="F24" s="137" t="s">
        <v>396</v>
      </c>
      <c r="G24" s="137" t="s">
        <v>417</v>
      </c>
    </row>
    <row r="25" spans="1:7" ht="25" customHeight="1" x14ac:dyDescent="0.15">
      <c r="A25" s="137">
        <v>23</v>
      </c>
      <c r="B25" s="138" t="s">
        <v>606</v>
      </c>
      <c r="C25" s="138" t="s">
        <v>617</v>
      </c>
      <c r="D25" s="137" t="s">
        <v>396</v>
      </c>
      <c r="E25" s="137" t="s">
        <v>387</v>
      </c>
      <c r="F25" s="137" t="s">
        <v>396</v>
      </c>
      <c r="G25" s="137" t="s">
        <v>418</v>
      </c>
    </row>
    <row r="26" spans="1:7" ht="25" customHeight="1" x14ac:dyDescent="0.15">
      <c r="A26" s="137">
        <v>24</v>
      </c>
      <c r="B26" s="138" t="s">
        <v>607</v>
      </c>
      <c r="C26" s="138" t="s">
        <v>617</v>
      </c>
      <c r="D26" s="137" t="s">
        <v>378</v>
      </c>
      <c r="E26" s="137" t="s">
        <v>388</v>
      </c>
      <c r="F26" s="137" t="s">
        <v>378</v>
      </c>
      <c r="G26" s="137" t="s">
        <v>419</v>
      </c>
    </row>
    <row r="27" spans="1:7" ht="25" customHeight="1" x14ac:dyDescent="0.15">
      <c r="A27" s="137">
        <v>25</v>
      </c>
      <c r="B27" s="138" t="s">
        <v>608</v>
      </c>
      <c r="C27" s="138" t="s">
        <v>578</v>
      </c>
      <c r="D27" s="137" t="s">
        <v>378</v>
      </c>
      <c r="E27" s="137" t="s">
        <v>388</v>
      </c>
      <c r="F27" s="137" t="s">
        <v>378</v>
      </c>
      <c r="G27" s="137" t="s">
        <v>420</v>
      </c>
    </row>
    <row r="28" spans="1:7" ht="25" customHeight="1" x14ac:dyDescent="0.15">
      <c r="A28" s="137">
        <v>26</v>
      </c>
      <c r="B28" s="138" t="s">
        <v>609</v>
      </c>
      <c r="C28" s="138" t="s">
        <v>617</v>
      </c>
      <c r="D28" s="137" t="s">
        <v>396</v>
      </c>
      <c r="E28" s="137" t="s">
        <v>387</v>
      </c>
      <c r="F28" s="137" t="s">
        <v>396</v>
      </c>
      <c r="G28" s="137" t="s">
        <v>421</v>
      </c>
    </row>
    <row r="29" spans="1:7" ht="25" customHeight="1" x14ac:dyDescent="0.15">
      <c r="A29" s="137">
        <v>27</v>
      </c>
      <c r="B29" s="138" t="s">
        <v>610</v>
      </c>
      <c r="C29" s="138" t="s">
        <v>617</v>
      </c>
      <c r="D29" s="137" t="s">
        <v>379</v>
      </c>
      <c r="E29" s="137" t="s">
        <v>385</v>
      </c>
      <c r="F29" s="137" t="s">
        <v>379</v>
      </c>
      <c r="G29" s="137" t="s">
        <v>422</v>
      </c>
    </row>
    <row r="30" spans="1:7" ht="25" customHeight="1" x14ac:dyDescent="0.15">
      <c r="A30" s="137">
        <v>28</v>
      </c>
      <c r="B30" s="138" t="s">
        <v>611</v>
      </c>
      <c r="C30" s="138" t="s">
        <v>578</v>
      </c>
      <c r="D30" s="137" t="s">
        <v>396</v>
      </c>
      <c r="E30" s="137" t="s">
        <v>387</v>
      </c>
      <c r="F30" s="137" t="s">
        <v>396</v>
      </c>
      <c r="G30" s="137" t="s">
        <v>423</v>
      </c>
    </row>
    <row r="31" spans="1:7" ht="25" customHeight="1" x14ac:dyDescent="0.15">
      <c r="A31" s="137">
        <v>29</v>
      </c>
      <c r="B31" s="138" t="s">
        <v>612</v>
      </c>
      <c r="C31" s="138" t="s">
        <v>578</v>
      </c>
      <c r="D31" s="137" t="s">
        <v>378</v>
      </c>
      <c r="E31" s="137" t="s">
        <v>388</v>
      </c>
      <c r="F31" s="137" t="s">
        <v>378</v>
      </c>
      <c r="G31" s="137" t="s">
        <v>424</v>
      </c>
    </row>
    <row r="32" spans="1:7" ht="25" customHeight="1" x14ac:dyDescent="0.15">
      <c r="A32" s="137">
        <v>30</v>
      </c>
      <c r="B32" s="138" t="s">
        <v>613</v>
      </c>
      <c r="C32" s="138" t="s">
        <v>578</v>
      </c>
      <c r="D32" s="137" t="s">
        <v>378</v>
      </c>
      <c r="E32" s="137" t="s">
        <v>388</v>
      </c>
      <c r="F32" s="137" t="s">
        <v>378</v>
      </c>
      <c r="G32" s="137" t="s">
        <v>425</v>
      </c>
    </row>
    <row r="33" spans="1:1" ht="25" customHeight="1" x14ac:dyDescent="0.15">
      <c r="A33" t="s">
        <v>426</v>
      </c>
    </row>
    <row r="34" spans="1:1" ht="25" customHeight="1" x14ac:dyDescent="0.15"/>
    <row r="35" spans="1:1" ht="25" customHeight="1" x14ac:dyDescent="0.15"/>
    <row r="36" spans="1:1" ht="25" customHeight="1" x14ac:dyDescent="0.15"/>
    <row r="37" spans="1:1" ht="25" customHeight="1" x14ac:dyDescent="0.15"/>
    <row r="38" spans="1:1" ht="25" customHeight="1" x14ac:dyDescent="0.15"/>
    <row r="39" spans="1:1" ht="25" customHeight="1" x14ac:dyDescent="0.15"/>
    <row r="40" spans="1:1" ht="25" customHeight="1" x14ac:dyDescent="0.15"/>
    <row r="41" spans="1:1" ht="25" customHeight="1" x14ac:dyDescent="0.15"/>
    <row r="42" spans="1:1" ht="25" customHeight="1" x14ac:dyDescent="0.15"/>
    <row r="43" spans="1:1" ht="25" customHeight="1" x14ac:dyDescent="0.15"/>
    <row r="44" spans="1:1" ht="25" customHeight="1" x14ac:dyDescent="0.15"/>
    <row r="45" spans="1:1" ht="25" customHeight="1" x14ac:dyDescent="0.15"/>
    <row r="46" spans="1:1" ht="25" customHeight="1" x14ac:dyDescent="0.15"/>
    <row r="47" spans="1:1" ht="25" customHeight="1" x14ac:dyDescent="0.15"/>
    <row r="48" spans="1:1" ht="25" customHeight="1" x14ac:dyDescent="0.15"/>
    <row r="49" ht="25" customHeight="1" x14ac:dyDescent="0.15"/>
    <row r="50" ht="25" customHeight="1" x14ac:dyDescent="0.15"/>
    <row r="51" ht="25" customHeight="1" x14ac:dyDescent="0.15"/>
    <row r="52" ht="25" customHeight="1" x14ac:dyDescent="0.15"/>
    <row r="53" ht="25" customHeight="1" x14ac:dyDescent="0.15"/>
    <row r="54" ht="25" customHeight="1" x14ac:dyDescent="0.15"/>
    <row r="55" ht="25" customHeight="1" x14ac:dyDescent="0.15"/>
    <row r="56" ht="25" customHeight="1" x14ac:dyDescent="0.15"/>
    <row r="57" ht="25" customHeight="1" x14ac:dyDescent="0.15"/>
    <row r="58" ht="25" customHeight="1" x14ac:dyDescent="0.15"/>
    <row r="59" ht="25" customHeight="1" x14ac:dyDescent="0.15"/>
    <row r="60" ht="25" customHeight="1" x14ac:dyDescent="0.15"/>
    <row r="61" ht="25" customHeight="1" x14ac:dyDescent="0.15"/>
    <row r="62" ht="25" customHeight="1" x14ac:dyDescent="0.1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91DF-F41F-4B17-A5F4-1DC761E81340}">
  <dimension ref="A1:F7"/>
  <sheetViews>
    <sheetView tabSelected="1" workbookViewId="0">
      <selection activeCell="F3" sqref="F3"/>
    </sheetView>
  </sheetViews>
  <sheetFormatPr baseColWidth="10" defaultColWidth="8.83203125" defaultRowHeight="14" x14ac:dyDescent="0.15"/>
  <cols>
    <col min="1" max="1" width="5.83203125" customWidth="1"/>
    <col min="2" max="2" width="23.6640625" customWidth="1"/>
    <col min="3" max="3" width="11.83203125" customWidth="1"/>
    <col min="4" max="4" width="14.83203125" customWidth="1"/>
    <col min="5" max="5" width="11.83203125" customWidth="1"/>
    <col min="6" max="6" width="38.5" customWidth="1"/>
  </cols>
  <sheetData>
    <row r="1" spans="1:6" ht="16" x14ac:dyDescent="0.2">
      <c r="A1" s="12" t="s">
        <v>427</v>
      </c>
      <c r="B1" s="12"/>
      <c r="C1" s="12"/>
      <c r="D1" s="12"/>
      <c r="E1" s="12"/>
      <c r="F1" s="12"/>
    </row>
    <row r="2" spans="1:6" x14ac:dyDescent="0.15">
      <c r="A2" s="19" t="s">
        <v>279</v>
      </c>
      <c r="B2" s="19" t="s">
        <v>428</v>
      </c>
      <c r="C2" s="19" t="s">
        <v>376</v>
      </c>
      <c r="D2" s="19" t="s">
        <v>429</v>
      </c>
      <c r="E2" s="19" t="s">
        <v>430</v>
      </c>
      <c r="F2" s="19" t="s">
        <v>377</v>
      </c>
    </row>
    <row r="3" spans="1:6" x14ac:dyDescent="0.15">
      <c r="A3" s="17">
        <v>1</v>
      </c>
      <c r="B3" s="16" t="s">
        <v>379</v>
      </c>
      <c r="C3" s="17">
        <v>1</v>
      </c>
      <c r="D3" s="26">
        <v>1</v>
      </c>
      <c r="E3" s="30">
        <f>C3*D3</f>
        <v>1</v>
      </c>
      <c r="F3" s="16"/>
    </row>
    <row r="4" spans="1:6" x14ac:dyDescent="0.15">
      <c r="A4" s="17">
        <v>2</v>
      </c>
      <c r="B4" s="16" t="s">
        <v>396</v>
      </c>
      <c r="C4" s="17">
        <v>2</v>
      </c>
      <c r="D4" s="26">
        <v>1</v>
      </c>
      <c r="E4" s="30">
        <f>C4*D4</f>
        <v>2</v>
      </c>
      <c r="F4" s="16"/>
    </row>
    <row r="5" spans="1:6" x14ac:dyDescent="0.15">
      <c r="A5" s="17">
        <v>3</v>
      </c>
      <c r="B5" s="16" t="s">
        <v>378</v>
      </c>
      <c r="C5" s="17">
        <v>3</v>
      </c>
      <c r="D5" s="26">
        <v>2</v>
      </c>
      <c r="E5" s="30">
        <f>C5*D5</f>
        <v>6</v>
      </c>
      <c r="F5" s="16"/>
    </row>
    <row r="6" spans="1:6" x14ac:dyDescent="0.15">
      <c r="A6" s="20"/>
      <c r="B6" s="20" t="s">
        <v>431</v>
      </c>
      <c r="C6" s="22"/>
      <c r="D6" s="31">
        <f>SUM(D3:D5)</f>
        <v>4</v>
      </c>
      <c r="E6" s="31">
        <f>SUM(E3:E5)</f>
        <v>9</v>
      </c>
      <c r="F6" s="22"/>
    </row>
    <row r="7" spans="1:6" x14ac:dyDescent="0.15">
      <c r="A7" s="27"/>
      <c r="B7" s="27" t="s">
        <v>432</v>
      </c>
      <c r="C7" s="28"/>
      <c r="D7" s="28"/>
      <c r="E7" s="32">
        <f>E6</f>
        <v>9</v>
      </c>
      <c r="F7" s="27" t="s">
        <v>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030D-A644-43D2-8BD9-313D7B467D25}">
  <dimension ref="A1:F16"/>
  <sheetViews>
    <sheetView workbookViewId="0">
      <selection activeCell="E10" sqref="E10"/>
    </sheetView>
  </sheetViews>
  <sheetFormatPr baseColWidth="10" defaultColWidth="8.83203125" defaultRowHeight="14" x14ac:dyDescent="0.15"/>
  <cols>
    <col min="1" max="1" width="5.83203125" customWidth="1"/>
    <col min="2" max="2" width="22.1640625" customWidth="1"/>
    <col min="3" max="3" width="11.83203125" customWidth="1"/>
    <col min="4" max="4" width="13.33203125" customWidth="1"/>
    <col min="5" max="5" width="10.33203125" customWidth="1"/>
    <col min="6" max="6" width="11.83203125" customWidth="1"/>
    <col min="7" max="7" width="37" customWidth="1"/>
  </cols>
  <sheetData>
    <row r="1" spans="1:6" ht="16" x14ac:dyDescent="0.2">
      <c r="A1" s="12" t="s">
        <v>434</v>
      </c>
      <c r="B1" s="3"/>
      <c r="C1" s="3"/>
      <c r="D1" s="3"/>
      <c r="E1" s="3"/>
      <c r="F1" s="3"/>
    </row>
    <row r="2" spans="1:6" x14ac:dyDescent="0.15">
      <c r="A2" s="19" t="s">
        <v>129</v>
      </c>
      <c r="B2" s="19" t="s">
        <v>435</v>
      </c>
      <c r="C2" s="19" t="s">
        <v>376</v>
      </c>
      <c r="D2" s="19" t="s">
        <v>436</v>
      </c>
      <c r="E2" s="19" t="s">
        <v>437</v>
      </c>
      <c r="F2" s="19" t="s">
        <v>430</v>
      </c>
    </row>
    <row r="3" spans="1:6" x14ac:dyDescent="0.15">
      <c r="A3" s="17">
        <v>1</v>
      </c>
      <c r="B3" s="16" t="s">
        <v>438</v>
      </c>
      <c r="C3" s="17">
        <v>5</v>
      </c>
      <c r="D3" s="17">
        <v>1</v>
      </c>
      <c r="E3" s="26">
        <v>2</v>
      </c>
      <c r="F3" s="17">
        <f t="shared" ref="F3:F11" si="0">C3*D3*E3</f>
        <v>10</v>
      </c>
    </row>
    <row r="4" spans="1:6" x14ac:dyDescent="0.15">
      <c r="A4" s="17"/>
      <c r="B4" s="16" t="s">
        <v>439</v>
      </c>
      <c r="C4" s="17">
        <v>10</v>
      </c>
      <c r="D4" s="17">
        <v>1</v>
      </c>
      <c r="E4" s="26">
        <v>0</v>
      </c>
      <c r="F4" s="17">
        <f t="shared" si="0"/>
        <v>0</v>
      </c>
    </row>
    <row r="5" spans="1:6" x14ac:dyDescent="0.15">
      <c r="A5" s="17"/>
      <c r="B5" s="16" t="s">
        <v>440</v>
      </c>
      <c r="C5" s="17">
        <v>15</v>
      </c>
      <c r="D5" s="17">
        <v>1</v>
      </c>
      <c r="E5" s="26">
        <v>0</v>
      </c>
      <c r="F5" s="17">
        <f t="shared" si="0"/>
        <v>0</v>
      </c>
    </row>
    <row r="6" spans="1:6" x14ac:dyDescent="0.15">
      <c r="A6" s="17">
        <v>2</v>
      </c>
      <c r="B6" s="16" t="s">
        <v>441</v>
      </c>
      <c r="C6" s="17">
        <v>5</v>
      </c>
      <c r="D6" s="17">
        <v>1.2</v>
      </c>
      <c r="E6" s="26">
        <v>19</v>
      </c>
      <c r="F6" s="17">
        <f t="shared" si="0"/>
        <v>114</v>
      </c>
    </row>
    <row r="7" spans="1:6" x14ac:dyDescent="0.15">
      <c r="A7" s="17"/>
      <c r="B7" s="16" t="s">
        <v>442</v>
      </c>
      <c r="C7" s="17">
        <v>10</v>
      </c>
      <c r="D7" s="17">
        <v>1.2</v>
      </c>
      <c r="E7" s="26">
        <v>0</v>
      </c>
      <c r="F7" s="17">
        <f t="shared" si="0"/>
        <v>0</v>
      </c>
    </row>
    <row r="8" spans="1:6" x14ac:dyDescent="0.15">
      <c r="A8" s="17"/>
      <c r="B8" s="16" t="s">
        <v>443</v>
      </c>
      <c r="C8" s="17">
        <v>15</v>
      </c>
      <c r="D8" s="17">
        <v>1.2</v>
      </c>
      <c r="E8" s="26">
        <v>0</v>
      </c>
      <c r="F8" s="17">
        <f t="shared" si="0"/>
        <v>0</v>
      </c>
    </row>
    <row r="9" spans="1:6" x14ac:dyDescent="0.15">
      <c r="A9" s="17">
        <v>3</v>
      </c>
      <c r="B9" s="16" t="s">
        <v>444</v>
      </c>
      <c r="C9" s="17">
        <v>5</v>
      </c>
      <c r="D9" s="17">
        <v>1.5</v>
      </c>
      <c r="E9" s="26">
        <v>9</v>
      </c>
      <c r="F9" s="17">
        <f t="shared" si="0"/>
        <v>67.5</v>
      </c>
    </row>
    <row r="10" spans="1:6" x14ac:dyDescent="0.15">
      <c r="A10" s="17"/>
      <c r="B10" s="16" t="s">
        <v>445</v>
      </c>
      <c r="C10" s="17">
        <v>10</v>
      </c>
      <c r="D10" s="17">
        <v>1.5</v>
      </c>
      <c r="E10" s="26">
        <v>0</v>
      </c>
      <c r="F10" s="17">
        <f t="shared" si="0"/>
        <v>0</v>
      </c>
    </row>
    <row r="11" spans="1:6" x14ac:dyDescent="0.15">
      <c r="A11" s="17"/>
      <c r="B11" s="16" t="s">
        <v>446</v>
      </c>
      <c r="C11" s="17">
        <v>15</v>
      </c>
      <c r="D11" s="17">
        <v>1.5</v>
      </c>
      <c r="E11" s="26">
        <v>0</v>
      </c>
      <c r="F11" s="17">
        <f t="shared" si="0"/>
        <v>0</v>
      </c>
    </row>
    <row r="12" spans="1:6" x14ac:dyDescent="0.15">
      <c r="A12" s="20"/>
      <c r="B12" s="20" t="s">
        <v>431</v>
      </c>
      <c r="C12" s="22"/>
      <c r="D12" s="22"/>
      <c r="E12" s="21">
        <f>SUM(E3:E11)</f>
        <v>30</v>
      </c>
      <c r="F12" s="21">
        <f>SUM(F3:F11)</f>
        <v>191.5</v>
      </c>
    </row>
    <row r="13" spans="1:6" x14ac:dyDescent="0.15">
      <c r="A13" s="27"/>
      <c r="B13" s="27" t="s">
        <v>447</v>
      </c>
      <c r="C13" s="28"/>
      <c r="D13" s="28"/>
      <c r="E13" s="28"/>
      <c r="F13" s="29">
        <f>F12</f>
        <v>191.5</v>
      </c>
    </row>
    <row r="15" spans="1:6" x14ac:dyDescent="0.15">
      <c r="A15" s="25" t="s">
        <v>448</v>
      </c>
    </row>
    <row r="16" spans="1:6" x14ac:dyDescent="0.15">
      <c r="A16" s="25" t="s">
        <v>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045E-FD83-4003-B897-E92E9BB34B29}">
  <dimension ref="A1:F22"/>
  <sheetViews>
    <sheetView workbookViewId="0">
      <selection activeCell="D17" sqref="D17"/>
    </sheetView>
  </sheetViews>
  <sheetFormatPr baseColWidth="10" defaultColWidth="8.83203125" defaultRowHeight="14" x14ac:dyDescent="0.15"/>
  <cols>
    <col min="1" max="1" width="5.83203125" customWidth="1"/>
    <col min="2" max="2" width="37" customWidth="1"/>
    <col min="3" max="3" width="14.83203125" customWidth="1"/>
    <col min="4" max="4" width="20.83203125" customWidth="1"/>
    <col min="5" max="5" width="16.33203125" customWidth="1"/>
    <col min="6" max="6" width="29.6640625" customWidth="1"/>
  </cols>
  <sheetData>
    <row r="1" spans="1:6" ht="16" x14ac:dyDescent="0.2">
      <c r="A1" s="12" t="s">
        <v>450</v>
      </c>
      <c r="B1" s="3"/>
      <c r="C1" s="3"/>
      <c r="D1" s="3"/>
      <c r="E1" s="3"/>
      <c r="F1" s="3"/>
    </row>
    <row r="2" spans="1:6" x14ac:dyDescent="0.15">
      <c r="A2" s="19" t="s">
        <v>279</v>
      </c>
      <c r="B2" s="19" t="s">
        <v>451</v>
      </c>
      <c r="C2" s="19" t="s">
        <v>452</v>
      </c>
      <c r="D2" s="19" t="s">
        <v>453</v>
      </c>
      <c r="E2" s="19" t="s">
        <v>454</v>
      </c>
      <c r="F2" s="19" t="s">
        <v>377</v>
      </c>
    </row>
    <row r="3" spans="1:6" x14ac:dyDescent="0.15">
      <c r="A3" s="13"/>
      <c r="B3" s="13" t="s">
        <v>455</v>
      </c>
      <c r="C3" s="13"/>
      <c r="D3" s="13"/>
      <c r="E3" s="13"/>
      <c r="F3" s="13"/>
    </row>
    <row r="4" spans="1:6" x14ac:dyDescent="0.15">
      <c r="A4" s="17" t="s">
        <v>456</v>
      </c>
      <c r="B4" s="16" t="s">
        <v>457</v>
      </c>
      <c r="C4" s="17">
        <v>2</v>
      </c>
      <c r="D4" s="26">
        <v>2</v>
      </c>
      <c r="E4" s="17">
        <f t="shared" ref="E4:E16" si="0">C4*D4</f>
        <v>4</v>
      </c>
      <c r="F4" s="16" t="s">
        <v>458</v>
      </c>
    </row>
    <row r="5" spans="1:6" x14ac:dyDescent="0.15">
      <c r="A5" s="17" t="s">
        <v>459</v>
      </c>
      <c r="B5" s="16" t="s">
        <v>460</v>
      </c>
      <c r="C5" s="17">
        <v>1</v>
      </c>
      <c r="D5" s="26">
        <v>4</v>
      </c>
      <c r="E5" s="17">
        <f>C5*D5</f>
        <v>4</v>
      </c>
      <c r="F5" s="16" t="s">
        <v>458</v>
      </c>
    </row>
    <row r="6" spans="1:6" x14ac:dyDescent="0.15">
      <c r="A6" s="17" t="s">
        <v>461</v>
      </c>
      <c r="B6" s="16" t="s">
        <v>462</v>
      </c>
      <c r="C6" s="17">
        <v>1</v>
      </c>
      <c r="D6" s="26">
        <v>3</v>
      </c>
      <c r="E6" s="17">
        <f t="shared" si="0"/>
        <v>3</v>
      </c>
      <c r="F6" s="16" t="s">
        <v>458</v>
      </c>
    </row>
    <row r="7" spans="1:6" x14ac:dyDescent="0.15">
      <c r="A7" s="17" t="s">
        <v>463</v>
      </c>
      <c r="B7" s="16" t="s">
        <v>464</v>
      </c>
      <c r="C7" s="17">
        <v>1</v>
      </c>
      <c r="D7" s="26">
        <v>4</v>
      </c>
      <c r="E7" s="17">
        <f t="shared" si="0"/>
        <v>4</v>
      </c>
      <c r="F7" s="16" t="s">
        <v>458</v>
      </c>
    </row>
    <row r="8" spans="1:6" x14ac:dyDescent="0.15">
      <c r="A8" s="17" t="s">
        <v>465</v>
      </c>
      <c r="B8" s="16" t="s">
        <v>466</v>
      </c>
      <c r="C8" s="17">
        <v>1</v>
      </c>
      <c r="D8" s="26">
        <v>2</v>
      </c>
      <c r="E8" s="17">
        <f t="shared" si="0"/>
        <v>2</v>
      </c>
      <c r="F8" s="16" t="s">
        <v>458</v>
      </c>
    </row>
    <row r="9" spans="1:6" x14ac:dyDescent="0.15">
      <c r="A9" s="17" t="s">
        <v>467</v>
      </c>
      <c r="B9" s="16" t="s">
        <v>468</v>
      </c>
      <c r="C9" s="17">
        <v>0.5</v>
      </c>
      <c r="D9" s="26">
        <v>2</v>
      </c>
      <c r="E9" s="17">
        <f t="shared" si="0"/>
        <v>1</v>
      </c>
      <c r="F9" s="16" t="s">
        <v>458</v>
      </c>
    </row>
    <row r="10" spans="1:6" x14ac:dyDescent="0.15">
      <c r="A10" s="17" t="s">
        <v>469</v>
      </c>
      <c r="B10" s="16" t="s">
        <v>470</v>
      </c>
      <c r="C10" s="17">
        <v>0.5</v>
      </c>
      <c r="D10" s="26">
        <v>3</v>
      </c>
      <c r="E10" s="17">
        <f t="shared" si="0"/>
        <v>1.5</v>
      </c>
      <c r="F10" s="16" t="s">
        <v>458</v>
      </c>
    </row>
    <row r="11" spans="1:6" x14ac:dyDescent="0.15">
      <c r="A11" s="17" t="s">
        <v>471</v>
      </c>
      <c r="B11" s="16" t="s">
        <v>472</v>
      </c>
      <c r="C11" s="17">
        <v>2</v>
      </c>
      <c r="D11" s="26">
        <v>1</v>
      </c>
      <c r="E11" s="17">
        <f t="shared" si="0"/>
        <v>2</v>
      </c>
      <c r="F11" s="16" t="s">
        <v>458</v>
      </c>
    </row>
    <row r="12" spans="1:6" x14ac:dyDescent="0.15">
      <c r="A12" s="17" t="s">
        <v>473</v>
      </c>
      <c r="B12" s="16" t="s">
        <v>474</v>
      </c>
      <c r="C12" s="17">
        <v>1</v>
      </c>
      <c r="D12" s="26">
        <v>2</v>
      </c>
      <c r="E12" s="17">
        <f t="shared" si="0"/>
        <v>2</v>
      </c>
      <c r="F12" s="16" t="s">
        <v>458</v>
      </c>
    </row>
    <row r="13" spans="1:6" x14ac:dyDescent="0.15">
      <c r="A13" s="17" t="s">
        <v>475</v>
      </c>
      <c r="B13" s="16" t="s">
        <v>476</v>
      </c>
      <c r="C13" s="17">
        <v>1</v>
      </c>
      <c r="D13" s="26">
        <v>4</v>
      </c>
      <c r="E13" s="17">
        <f t="shared" si="0"/>
        <v>4</v>
      </c>
      <c r="F13" s="16" t="s">
        <v>458</v>
      </c>
    </row>
    <row r="14" spans="1:6" x14ac:dyDescent="0.15">
      <c r="A14" s="17" t="s">
        <v>477</v>
      </c>
      <c r="B14" s="16" t="s">
        <v>478</v>
      </c>
      <c r="C14" s="17">
        <v>1</v>
      </c>
      <c r="D14" s="26">
        <v>4</v>
      </c>
      <c r="E14" s="17">
        <f t="shared" si="0"/>
        <v>4</v>
      </c>
      <c r="F14" s="16" t="s">
        <v>458</v>
      </c>
    </row>
    <row r="15" spans="1:6" x14ac:dyDescent="0.15">
      <c r="A15" s="17" t="s">
        <v>479</v>
      </c>
      <c r="B15" s="16" t="s">
        <v>480</v>
      </c>
      <c r="C15" s="17">
        <v>1</v>
      </c>
      <c r="D15" s="26">
        <v>3</v>
      </c>
      <c r="E15" s="17">
        <f t="shared" si="0"/>
        <v>3</v>
      </c>
      <c r="F15" s="16" t="s">
        <v>458</v>
      </c>
    </row>
    <row r="16" spans="1:6" x14ac:dyDescent="0.15">
      <c r="A16" s="17" t="s">
        <v>481</v>
      </c>
      <c r="B16" s="16" t="s">
        <v>482</v>
      </c>
      <c r="C16" s="17">
        <v>1</v>
      </c>
      <c r="D16" s="26">
        <v>3</v>
      </c>
      <c r="E16" s="17">
        <f t="shared" si="0"/>
        <v>3</v>
      </c>
      <c r="F16" s="16" t="s">
        <v>458</v>
      </c>
    </row>
    <row r="17" spans="1:6" x14ac:dyDescent="0.15">
      <c r="A17" s="20"/>
      <c r="B17" s="20" t="s">
        <v>483</v>
      </c>
      <c r="C17" s="22"/>
      <c r="D17" s="22"/>
      <c r="E17" s="21">
        <f>SUM(E4:E16)</f>
        <v>37.5</v>
      </c>
      <c r="F17" s="22"/>
    </row>
    <row r="18" spans="1:6" x14ac:dyDescent="0.15">
      <c r="A18" s="13"/>
      <c r="B18" s="13" t="s">
        <v>484</v>
      </c>
      <c r="C18" s="14"/>
      <c r="D18" s="14"/>
      <c r="E18" s="14"/>
      <c r="F18" s="14"/>
    </row>
    <row r="19" spans="1:6" x14ac:dyDescent="0.15">
      <c r="A19" s="27"/>
      <c r="B19" s="27" t="s">
        <v>485</v>
      </c>
      <c r="C19" s="28"/>
      <c r="D19" s="28"/>
      <c r="E19" s="29">
        <f>0.6+(0.01*E17)</f>
        <v>0.97499999999999998</v>
      </c>
      <c r="F19" s="27" t="s">
        <v>486</v>
      </c>
    </row>
    <row r="20" spans="1:6" x14ac:dyDescent="0.15">
      <c r="A20" s="7"/>
      <c r="B20" s="7"/>
      <c r="C20" s="7"/>
      <c r="D20" s="7"/>
      <c r="E20" s="7"/>
      <c r="F20" s="7"/>
    </row>
    <row r="21" spans="1:6" x14ac:dyDescent="0.15">
      <c r="A21" s="33"/>
      <c r="B21" s="33" t="s">
        <v>69</v>
      </c>
      <c r="C21" s="16"/>
      <c r="D21" s="16"/>
      <c r="E21" s="34">
        <f>PL4_TAW!E7+PL5_TBF!F13</f>
        <v>200.5</v>
      </c>
      <c r="F21" s="33" t="s">
        <v>487</v>
      </c>
    </row>
    <row r="22" spans="1:6" x14ac:dyDescent="0.15">
      <c r="A22" s="27"/>
      <c r="B22" s="27" t="s">
        <v>76</v>
      </c>
      <c r="C22" s="28"/>
      <c r="D22" s="28"/>
      <c r="E22" s="29">
        <f>E21*E19*PL7_ECF!E12</f>
        <v>185.71312499999996</v>
      </c>
      <c r="F22" s="27" t="s">
        <v>488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5A32-6F97-4B1F-8C42-24BDAAD471EB}">
  <dimension ref="A1:F14"/>
  <sheetViews>
    <sheetView workbookViewId="0">
      <selection activeCell="D21" sqref="D21"/>
    </sheetView>
  </sheetViews>
  <sheetFormatPr baseColWidth="10" defaultColWidth="8.83203125" defaultRowHeight="14" x14ac:dyDescent="0.15"/>
  <cols>
    <col min="1" max="1" width="5.83203125" customWidth="1"/>
    <col min="2" max="2" width="40" customWidth="1"/>
    <col min="3" max="3" width="14.83203125" customWidth="1"/>
    <col min="4" max="4" width="20.83203125" customWidth="1"/>
    <col min="5" max="5" width="16.33203125" customWidth="1"/>
    <col min="6" max="6" width="22.1640625" customWidth="1"/>
  </cols>
  <sheetData>
    <row r="1" spans="1:6" ht="16" x14ac:dyDescent="0.2">
      <c r="A1" s="12" t="s">
        <v>489</v>
      </c>
      <c r="B1" s="3"/>
      <c r="C1" s="3"/>
      <c r="D1" s="3"/>
      <c r="E1" s="3"/>
      <c r="F1" s="3"/>
    </row>
    <row r="2" spans="1:6" x14ac:dyDescent="0.15">
      <c r="A2" s="19" t="s">
        <v>279</v>
      </c>
      <c r="B2" s="19" t="s">
        <v>490</v>
      </c>
      <c r="C2" s="19" t="s">
        <v>452</v>
      </c>
      <c r="D2" s="19" t="s">
        <v>453</v>
      </c>
      <c r="E2" s="19" t="s">
        <v>454</v>
      </c>
      <c r="F2" s="19" t="s">
        <v>377</v>
      </c>
    </row>
    <row r="3" spans="1:6" x14ac:dyDescent="0.15">
      <c r="A3" s="17" t="s">
        <v>491</v>
      </c>
      <c r="B3" s="16" t="s">
        <v>492</v>
      </c>
      <c r="C3" s="17">
        <v>1.5</v>
      </c>
      <c r="D3" s="26">
        <v>2</v>
      </c>
      <c r="E3" s="17">
        <f t="shared" ref="E3:E10" si="0">C3*D3</f>
        <v>3</v>
      </c>
      <c r="F3" s="16" t="s">
        <v>458</v>
      </c>
    </row>
    <row r="4" spans="1:6" x14ac:dyDescent="0.15">
      <c r="A4" s="17" t="s">
        <v>493</v>
      </c>
      <c r="B4" s="16" t="s">
        <v>494</v>
      </c>
      <c r="C4" s="17">
        <v>0.5</v>
      </c>
      <c r="D4" s="26">
        <v>2</v>
      </c>
      <c r="E4" s="17">
        <f t="shared" si="0"/>
        <v>1</v>
      </c>
      <c r="F4" s="16" t="s">
        <v>458</v>
      </c>
    </row>
    <row r="5" spans="1:6" x14ac:dyDescent="0.15">
      <c r="A5" s="17" t="s">
        <v>495</v>
      </c>
      <c r="B5" s="16" t="s">
        <v>496</v>
      </c>
      <c r="C5" s="17">
        <v>1</v>
      </c>
      <c r="D5" s="26">
        <v>3</v>
      </c>
      <c r="E5" s="17">
        <f t="shared" si="0"/>
        <v>3</v>
      </c>
      <c r="F5" s="16" t="s">
        <v>458</v>
      </c>
    </row>
    <row r="6" spans="1:6" x14ac:dyDescent="0.15">
      <c r="A6" s="17" t="s">
        <v>497</v>
      </c>
      <c r="B6" s="16" t="s">
        <v>498</v>
      </c>
      <c r="C6" s="17">
        <v>0.5</v>
      </c>
      <c r="D6" s="26">
        <v>2</v>
      </c>
      <c r="E6" s="17">
        <f t="shared" si="0"/>
        <v>1</v>
      </c>
      <c r="F6" s="16" t="s">
        <v>458</v>
      </c>
    </row>
    <row r="7" spans="1:6" x14ac:dyDescent="0.15">
      <c r="A7" s="17" t="s">
        <v>499</v>
      </c>
      <c r="B7" s="16" t="s">
        <v>500</v>
      </c>
      <c r="C7" s="17">
        <v>1</v>
      </c>
      <c r="D7" s="26">
        <v>5</v>
      </c>
      <c r="E7" s="17">
        <f t="shared" si="0"/>
        <v>5</v>
      </c>
      <c r="F7" s="16" t="s">
        <v>458</v>
      </c>
    </row>
    <row r="8" spans="1:6" x14ac:dyDescent="0.15">
      <c r="A8" s="17" t="s">
        <v>501</v>
      </c>
      <c r="B8" s="16" t="s">
        <v>502</v>
      </c>
      <c r="C8" s="17">
        <v>2</v>
      </c>
      <c r="D8" s="26">
        <v>3</v>
      </c>
      <c r="E8" s="17">
        <f t="shared" si="0"/>
        <v>6</v>
      </c>
      <c r="F8" s="16" t="s">
        <v>458</v>
      </c>
    </row>
    <row r="9" spans="1:6" x14ac:dyDescent="0.15">
      <c r="A9" s="17" t="s">
        <v>503</v>
      </c>
      <c r="B9" s="16" t="s">
        <v>504</v>
      </c>
      <c r="C9" s="17">
        <v>-1</v>
      </c>
      <c r="D9" s="26">
        <v>2</v>
      </c>
      <c r="E9" s="17">
        <f t="shared" si="0"/>
        <v>-2</v>
      </c>
      <c r="F9" s="16" t="s">
        <v>458</v>
      </c>
    </row>
    <row r="10" spans="1:6" x14ac:dyDescent="0.15">
      <c r="A10" s="17" t="s">
        <v>192</v>
      </c>
      <c r="B10" s="16" t="s">
        <v>505</v>
      </c>
      <c r="C10" s="17">
        <v>-1</v>
      </c>
      <c r="D10" s="26">
        <v>2</v>
      </c>
      <c r="E10" s="17">
        <f t="shared" si="0"/>
        <v>-2</v>
      </c>
      <c r="F10" s="16" t="s">
        <v>458</v>
      </c>
    </row>
    <row r="11" spans="1:6" x14ac:dyDescent="0.15">
      <c r="A11" s="20"/>
      <c r="B11" s="20" t="s">
        <v>506</v>
      </c>
      <c r="C11" s="22"/>
      <c r="D11" s="22"/>
      <c r="E11" s="21">
        <f>SUM(E3:E10)</f>
        <v>15</v>
      </c>
      <c r="F11" s="22"/>
    </row>
    <row r="12" spans="1:6" x14ac:dyDescent="0.15">
      <c r="A12" s="27"/>
      <c r="B12" s="27" t="s">
        <v>507</v>
      </c>
      <c r="C12" s="28"/>
      <c r="D12" s="28"/>
      <c r="E12" s="29">
        <f>1.4+(-0.03*E11)</f>
        <v>0.95</v>
      </c>
      <c r="F12" s="27" t="s">
        <v>75</v>
      </c>
    </row>
    <row r="14" spans="1:6" x14ac:dyDescent="0.15">
      <c r="A14" s="25" t="s">
        <v>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B1F1-9246-4D35-8C29-EED34337AF0A}">
  <dimension ref="A1:H18"/>
  <sheetViews>
    <sheetView workbookViewId="0">
      <selection sqref="A1:H1"/>
    </sheetView>
  </sheetViews>
  <sheetFormatPr baseColWidth="10" defaultColWidth="8.83203125" defaultRowHeight="14" x14ac:dyDescent="0.15"/>
  <cols>
    <col min="1" max="1" width="4.5" customWidth="1"/>
    <col min="2" max="2" width="37" customWidth="1"/>
    <col min="3" max="3" width="7.5" customWidth="1"/>
    <col min="4" max="4" width="29.6640625" customWidth="1"/>
    <col min="5" max="7" width="14.83203125" customWidth="1"/>
    <col min="8" max="8" width="29.6640625" customWidth="1"/>
  </cols>
  <sheetData>
    <row r="1" spans="1:8" ht="17" x14ac:dyDescent="0.2">
      <c r="A1" s="151" t="s">
        <v>509</v>
      </c>
      <c r="B1" s="151"/>
      <c r="C1" s="151"/>
      <c r="D1" s="151"/>
      <c r="E1" s="151"/>
      <c r="F1" s="151"/>
      <c r="G1" s="151"/>
      <c r="H1" s="151"/>
    </row>
    <row r="2" spans="1:8" x14ac:dyDescent="0.15">
      <c r="A2" s="152" t="s">
        <v>510</v>
      </c>
      <c r="B2" s="152"/>
      <c r="C2" s="152"/>
      <c r="D2" s="152"/>
      <c r="E2" s="152"/>
      <c r="F2" s="152"/>
      <c r="G2" s="152"/>
      <c r="H2" s="152"/>
    </row>
    <row r="4" spans="1:8" x14ac:dyDescent="0.15">
      <c r="A4" s="43" t="s">
        <v>279</v>
      </c>
      <c r="B4" s="43" t="s">
        <v>130</v>
      </c>
      <c r="C4" s="43" t="s">
        <v>282</v>
      </c>
      <c r="D4" s="43" t="s">
        <v>281</v>
      </c>
      <c r="E4" s="43" t="s">
        <v>511</v>
      </c>
      <c r="F4" s="43" t="s">
        <v>512</v>
      </c>
      <c r="G4" s="43" t="s">
        <v>513</v>
      </c>
      <c r="H4" s="43" t="s">
        <v>377</v>
      </c>
    </row>
    <row r="5" spans="1:8" x14ac:dyDescent="0.15">
      <c r="A5" s="56">
        <v>1</v>
      </c>
      <c r="B5" t="s">
        <v>514</v>
      </c>
      <c r="C5" t="s">
        <v>163</v>
      </c>
      <c r="E5" s="44">
        <v>2.34</v>
      </c>
      <c r="F5" s="44">
        <v>2.65</v>
      </c>
      <c r="G5" s="44">
        <v>2.96</v>
      </c>
      <c r="H5" t="s">
        <v>166</v>
      </c>
    </row>
    <row r="6" spans="1:8" x14ac:dyDescent="0.15">
      <c r="A6" s="56">
        <v>2</v>
      </c>
      <c r="B6" t="s">
        <v>515</v>
      </c>
      <c r="C6" t="s">
        <v>167</v>
      </c>
      <c r="E6" s="44">
        <v>0</v>
      </c>
      <c r="F6" s="44">
        <v>0</v>
      </c>
      <c r="G6" s="44">
        <v>0</v>
      </c>
    </row>
    <row r="7" spans="1:8" x14ac:dyDescent="0.15">
      <c r="A7" s="56">
        <v>3</v>
      </c>
      <c r="B7" t="s">
        <v>516</v>
      </c>
      <c r="C7" t="s">
        <v>171</v>
      </c>
      <c r="E7" s="45">
        <v>2340000</v>
      </c>
      <c r="F7" s="45">
        <v>2340000</v>
      </c>
      <c r="G7" s="45">
        <v>2340000</v>
      </c>
      <c r="H7" t="s">
        <v>174</v>
      </c>
    </row>
    <row r="8" spans="1:8" x14ac:dyDescent="0.15">
      <c r="A8" s="56">
        <v>4</v>
      </c>
      <c r="B8" t="s">
        <v>517</v>
      </c>
      <c r="C8" t="s">
        <v>518</v>
      </c>
      <c r="D8" t="s">
        <v>519</v>
      </c>
      <c r="E8" s="46">
        <f>E5*E7</f>
        <v>5475600</v>
      </c>
      <c r="F8" s="46">
        <f>F5*F7</f>
        <v>6201000</v>
      </c>
      <c r="G8" s="46">
        <f>G5*G7</f>
        <v>6926400</v>
      </c>
    </row>
    <row r="9" spans="1:8" x14ac:dyDescent="0.15">
      <c r="A9" s="56">
        <v>5</v>
      </c>
      <c r="B9" t="s">
        <v>254</v>
      </c>
      <c r="C9" t="s">
        <v>255</v>
      </c>
      <c r="E9" s="47">
        <v>0.9</v>
      </c>
      <c r="F9" s="47">
        <v>0.9</v>
      </c>
      <c r="G9" s="47">
        <v>0.9</v>
      </c>
      <c r="H9" t="s">
        <v>520</v>
      </c>
    </row>
    <row r="10" spans="1:8" x14ac:dyDescent="0.15">
      <c r="A10" s="56">
        <v>6</v>
      </c>
      <c r="B10" t="s">
        <v>521</v>
      </c>
      <c r="C10" t="s">
        <v>522</v>
      </c>
      <c r="D10" t="s">
        <v>145</v>
      </c>
      <c r="E10" s="46">
        <f>E11+E12+E13</f>
        <v>1177254</v>
      </c>
      <c r="F10" s="46">
        <f>F11+F12+F13</f>
        <v>1333215</v>
      </c>
      <c r="G10" s="46">
        <f>G11+G12+G13</f>
        <v>1489176</v>
      </c>
      <c r="H10" t="s">
        <v>182</v>
      </c>
    </row>
    <row r="11" spans="1:8" x14ac:dyDescent="0.15">
      <c r="A11" s="56">
        <v>6.1</v>
      </c>
      <c r="B11" t="s">
        <v>523</v>
      </c>
      <c r="C11" t="s">
        <v>524</v>
      </c>
      <c r="D11" t="s">
        <v>525</v>
      </c>
      <c r="E11" s="46">
        <f>17.5%*E8</f>
        <v>958229.99999999988</v>
      </c>
      <c r="F11" s="46">
        <f>17.5%*F8</f>
        <v>1085175</v>
      </c>
      <c r="G11" s="46">
        <f>17.5%*G8</f>
        <v>1212120</v>
      </c>
      <c r="H11" t="s">
        <v>256</v>
      </c>
    </row>
    <row r="12" spans="1:8" x14ac:dyDescent="0.15">
      <c r="A12" s="56">
        <v>6.2</v>
      </c>
      <c r="B12" t="s">
        <v>526</v>
      </c>
      <c r="C12" t="s">
        <v>527</v>
      </c>
      <c r="D12" t="s">
        <v>528</v>
      </c>
      <c r="E12" s="46">
        <f>3%*E8</f>
        <v>164268</v>
      </c>
      <c r="F12" s="46">
        <f>3%*F8</f>
        <v>186030</v>
      </c>
      <c r="G12" s="46">
        <f>3%*G8</f>
        <v>207792</v>
      </c>
      <c r="H12" t="s">
        <v>259</v>
      </c>
    </row>
    <row r="13" spans="1:8" x14ac:dyDescent="0.15">
      <c r="A13" s="56">
        <v>6.3</v>
      </c>
      <c r="B13" t="s">
        <v>529</v>
      </c>
      <c r="C13" t="s">
        <v>530</v>
      </c>
      <c r="D13" t="s">
        <v>531</v>
      </c>
      <c r="E13" s="46">
        <f>1%*E8</f>
        <v>54756</v>
      </c>
      <c r="F13" s="46">
        <f>1%*F8</f>
        <v>62010</v>
      </c>
      <c r="G13" s="46">
        <f>1%*G8</f>
        <v>69264</v>
      </c>
      <c r="H13" t="s">
        <v>259</v>
      </c>
    </row>
    <row r="14" spans="1:8" x14ac:dyDescent="0.15">
      <c r="A14" s="56">
        <v>7</v>
      </c>
      <c r="B14" t="s">
        <v>532</v>
      </c>
      <c r="C14" t="s">
        <v>179</v>
      </c>
      <c r="E14" s="2">
        <v>26</v>
      </c>
      <c r="F14" s="2">
        <v>26</v>
      </c>
      <c r="G14" s="2">
        <v>26</v>
      </c>
      <c r="H14" t="s">
        <v>182</v>
      </c>
    </row>
    <row r="15" spans="1:8" x14ac:dyDescent="0.15">
      <c r="A15" s="56">
        <v>8</v>
      </c>
      <c r="B15" t="s">
        <v>533</v>
      </c>
      <c r="C15" t="s">
        <v>534</v>
      </c>
      <c r="D15" t="s">
        <v>535</v>
      </c>
      <c r="E15" s="46">
        <f>((E5+E6)*E7*(1+E9)+E10)/E14</f>
        <v>445419</v>
      </c>
      <c r="F15" s="46">
        <f>((F5+F6)*F7*(1+F9)+F10)/F14</f>
        <v>504427.5</v>
      </c>
      <c r="G15" s="46">
        <f>((G5+G6)*G7*(1+G9)+G10)/G14</f>
        <v>563436</v>
      </c>
      <c r="H15" t="s">
        <v>182</v>
      </c>
    </row>
    <row r="16" spans="1:8" x14ac:dyDescent="0.15">
      <c r="A16" s="56">
        <v>9</v>
      </c>
      <c r="B16" t="s">
        <v>536</v>
      </c>
      <c r="C16" t="s">
        <v>537</v>
      </c>
      <c r="D16" t="s">
        <v>538</v>
      </c>
      <c r="E16" s="48">
        <f>E15/8</f>
        <v>55677.375</v>
      </c>
      <c r="F16" s="48">
        <f>F15/8</f>
        <v>63053.4375</v>
      </c>
      <c r="G16" s="48">
        <f>G15/8</f>
        <v>70429.5</v>
      </c>
    </row>
    <row r="17" spans="1:8" x14ac:dyDescent="0.15">
      <c r="A17" s="56">
        <v>10</v>
      </c>
      <c r="B17" t="s">
        <v>539</v>
      </c>
      <c r="E17" s="49">
        <v>2</v>
      </c>
      <c r="F17" s="49">
        <v>0</v>
      </c>
      <c r="G17" s="49">
        <v>0</v>
      </c>
      <c r="H17" t="s">
        <v>540</v>
      </c>
    </row>
    <row r="18" spans="1:8" x14ac:dyDescent="0.15">
      <c r="A18" s="57">
        <v>11</v>
      </c>
      <c r="B18" s="53" t="s">
        <v>541</v>
      </c>
      <c r="C18" s="53" t="s">
        <v>542</v>
      </c>
      <c r="D18" s="53" t="s">
        <v>543</v>
      </c>
      <c r="E18" s="54">
        <f>IF(SUM(E17:G17)=0,0,SUMPRODUCT(E16:G16,E17:G17)/SUM(E17:G17))</f>
        <v>55677.375</v>
      </c>
      <c r="F18" s="55"/>
      <c r="G18" s="55"/>
      <c r="H18" s="53" t="s">
        <v>544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83B5-14AA-4310-9708-BE7A5EF69A2B}">
  <dimension ref="A1:F14"/>
  <sheetViews>
    <sheetView workbookViewId="0">
      <selection activeCell="E13" sqref="E13"/>
    </sheetView>
  </sheetViews>
  <sheetFormatPr baseColWidth="10" defaultColWidth="8.83203125" defaultRowHeight="14" x14ac:dyDescent="0.15"/>
  <cols>
    <col min="1" max="1" width="5.83203125" customWidth="1"/>
    <col min="2" max="2" width="37" customWidth="1"/>
    <col min="3" max="3" width="26.6640625" customWidth="1"/>
    <col min="4" max="4" width="10.33203125" customWidth="1"/>
    <col min="5" max="5" width="19.1640625" customWidth="1"/>
    <col min="6" max="6" width="29.6640625" customWidth="1"/>
  </cols>
  <sheetData>
    <row r="1" spans="1:6" ht="16" x14ac:dyDescent="0.2">
      <c r="A1" s="12" t="s">
        <v>545</v>
      </c>
      <c r="B1" s="3"/>
      <c r="C1" s="3"/>
      <c r="D1" s="3"/>
      <c r="E1" s="3"/>
      <c r="F1" s="3"/>
    </row>
    <row r="3" spans="1:6" x14ac:dyDescent="0.15">
      <c r="A3" s="19" t="s">
        <v>279</v>
      </c>
      <c r="B3" s="19" t="s">
        <v>130</v>
      </c>
      <c r="C3" s="19" t="s">
        <v>67</v>
      </c>
      <c r="D3" s="19" t="s">
        <v>282</v>
      </c>
      <c r="E3" s="19" t="s">
        <v>546</v>
      </c>
      <c r="F3" s="19" t="s">
        <v>377</v>
      </c>
    </row>
    <row r="4" spans="1:6" x14ac:dyDescent="0.15">
      <c r="A4" s="13" t="s">
        <v>313</v>
      </c>
      <c r="B4" s="13" t="s">
        <v>547</v>
      </c>
      <c r="C4" s="14"/>
      <c r="D4" s="14"/>
      <c r="E4" s="14"/>
      <c r="F4" s="14"/>
    </row>
    <row r="5" spans="1:6" x14ac:dyDescent="0.15">
      <c r="A5" s="17">
        <v>1</v>
      </c>
      <c r="B5" s="16" t="s">
        <v>548</v>
      </c>
      <c r="C5" s="16" t="s">
        <v>549</v>
      </c>
      <c r="D5" s="17" t="s">
        <v>432</v>
      </c>
      <c r="E5" s="30">
        <f>PL4_TAW!E7</f>
        <v>9</v>
      </c>
      <c r="F5" s="16"/>
    </row>
    <row r="6" spans="1:6" x14ac:dyDescent="0.15">
      <c r="A6" s="17">
        <v>2</v>
      </c>
      <c r="B6" s="16" t="s">
        <v>550</v>
      </c>
      <c r="C6" s="16" t="s">
        <v>551</v>
      </c>
      <c r="D6" s="17" t="s">
        <v>447</v>
      </c>
      <c r="E6" s="17">
        <f>PL5_TBF!F13</f>
        <v>191.5</v>
      </c>
      <c r="F6" s="16"/>
    </row>
    <row r="7" spans="1:6" x14ac:dyDescent="0.15">
      <c r="A7" s="17">
        <v>3</v>
      </c>
      <c r="B7" s="16" t="s">
        <v>552</v>
      </c>
      <c r="C7" s="16" t="s">
        <v>69</v>
      </c>
      <c r="D7" s="17" t="s">
        <v>553</v>
      </c>
      <c r="E7" s="30">
        <f>E5+E6</f>
        <v>200.5</v>
      </c>
      <c r="F7" s="16"/>
    </row>
    <row r="8" spans="1:6" x14ac:dyDescent="0.15">
      <c r="A8" s="17">
        <v>4</v>
      </c>
      <c r="B8" s="16" t="s">
        <v>32</v>
      </c>
      <c r="C8" s="16" t="s">
        <v>554</v>
      </c>
      <c r="D8" s="17" t="s">
        <v>555</v>
      </c>
      <c r="E8" s="17">
        <f>PL6_TCF!E19</f>
        <v>0.97499999999999998</v>
      </c>
      <c r="F8" s="16" t="s">
        <v>556</v>
      </c>
    </row>
    <row r="9" spans="1:6" x14ac:dyDescent="0.15">
      <c r="A9" s="17">
        <v>5</v>
      </c>
      <c r="B9" s="16" t="s">
        <v>557</v>
      </c>
      <c r="C9" s="16" t="s">
        <v>558</v>
      </c>
      <c r="D9" s="17" t="s">
        <v>559</v>
      </c>
      <c r="E9" s="17">
        <f>PL7_ECF!E12</f>
        <v>0.95</v>
      </c>
      <c r="F9" s="16" t="s">
        <v>560</v>
      </c>
    </row>
    <row r="10" spans="1:6" x14ac:dyDescent="0.15">
      <c r="A10" s="21">
        <v>6</v>
      </c>
      <c r="B10" s="20" t="s">
        <v>561</v>
      </c>
      <c r="C10" s="22" t="s">
        <v>76</v>
      </c>
      <c r="D10" s="35" t="s">
        <v>562</v>
      </c>
      <c r="E10" s="35">
        <f>E7*E8*E9</f>
        <v>185.71312499999996</v>
      </c>
      <c r="F10" s="22"/>
    </row>
    <row r="11" spans="1:6" x14ac:dyDescent="0.15">
      <c r="A11" s="15" t="s">
        <v>316</v>
      </c>
      <c r="B11" s="13" t="s">
        <v>563</v>
      </c>
      <c r="C11" s="14" t="s">
        <v>564</v>
      </c>
      <c r="D11" s="36" t="s">
        <v>565</v>
      </c>
      <c r="E11" s="37">
        <v>20</v>
      </c>
      <c r="F11" s="14" t="s">
        <v>566</v>
      </c>
    </row>
    <row r="12" spans="1:6" x14ac:dyDescent="0.15">
      <c r="A12" s="17" t="s">
        <v>320</v>
      </c>
      <c r="B12" s="16" t="s">
        <v>567</v>
      </c>
      <c r="C12" s="16" t="s">
        <v>78</v>
      </c>
      <c r="D12" s="17" t="s">
        <v>568</v>
      </c>
      <c r="E12" s="17">
        <f>10/6*E10</f>
        <v>309.52187499999997</v>
      </c>
      <c r="F12" s="16" t="s">
        <v>569</v>
      </c>
    </row>
    <row r="13" spans="1:6" x14ac:dyDescent="0.15">
      <c r="A13" s="17" t="s">
        <v>335</v>
      </c>
      <c r="B13" s="16" t="s">
        <v>570</v>
      </c>
      <c r="C13" s="16" t="s">
        <v>571</v>
      </c>
      <c r="D13" s="17" t="s">
        <v>542</v>
      </c>
      <c r="E13" s="52">
        <f>PL8_Luong!E18</f>
        <v>55677.375</v>
      </c>
      <c r="F13" s="16" t="s">
        <v>572</v>
      </c>
    </row>
    <row r="14" spans="1:6" ht="16" x14ac:dyDescent="0.2">
      <c r="A14" s="27" t="s">
        <v>349</v>
      </c>
      <c r="B14" s="38" t="s">
        <v>573</v>
      </c>
      <c r="C14" s="28" t="s">
        <v>80</v>
      </c>
      <c r="D14" s="39" t="s">
        <v>284</v>
      </c>
      <c r="E14" s="59">
        <f>1.4*E12*E11*E13</f>
        <v>482534234.14218748</v>
      </c>
      <c r="F14" s="28" t="s">
        <v>574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DD4E63A422E4C8AC9992971607E76" ma:contentTypeVersion="0" ma:contentTypeDescription="Create a new document." ma:contentTypeScope="" ma:versionID="d55d5f7be60ed253542d36a91785e5d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D8490C-5281-45C5-8F97-BD6BD2F798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5628BC-F8BC-4386-9274-5371A89BFC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BA68B8D-47D8-469E-BD5F-E79AE65D8F8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TM00587582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HuongDan</vt:lpstr>
      <vt:lpstr>HD_PL8</vt:lpstr>
      <vt:lpstr>TongHop</vt:lpstr>
      <vt:lpstr>TongDuToan</vt:lpstr>
      <vt:lpstr>PL1_Actors</vt:lpstr>
      <vt:lpstr>PL2_YeuCau</vt:lpstr>
      <vt:lpstr>PL3_UseCase</vt:lpstr>
      <vt:lpstr>PL4_TAW</vt:lpstr>
      <vt:lpstr>PL5_TBF</vt:lpstr>
      <vt:lpstr>PL6_TCF</vt:lpstr>
      <vt:lpstr>PL7_ECF</vt:lpstr>
      <vt:lpstr>PL8_Luong</vt:lpstr>
      <vt:lpstr>ChiPhi_G1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2026-03-16T01:47:15Z</dcterms:created>
  <dcterms:modified xsi:type="dcterms:W3CDTF">2026-04-08T01:47:52Z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0x01010078FDD4E63A422E4C8AC9992971607E76</vt:lpwstr>
  </property>
</Properties>
</file>